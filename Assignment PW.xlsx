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https://d.docs.live.net/86ad82ca50e1dd8e/Documents/"/>
    </mc:Choice>
  </mc:AlternateContent>
  <xr:revisionPtr revIDLastSave="3" documentId="8_{E28DD471-7CDF-4465-8980-17C504F6440A}" xr6:coauthVersionLast="47" xr6:coauthVersionMax="47" xr10:uidLastSave="{9ECEB8EE-6122-4E38-B9EA-5D5AB5F8430F}"/>
  <bookViews>
    <workbookView xWindow="-108" yWindow="-108" windowWidth="23256" windowHeight="12456" firstSheet="1" activeTab="7" xr2:uid="{9827DD9A-82FE-4380-BF2D-2A24E0BBB659}"/>
  </bookViews>
  <sheets>
    <sheet name="Question 1 to 5" sheetId="1" r:id="rId1"/>
    <sheet name="Question 6" sheetId="2" r:id="rId2"/>
    <sheet name="Question 7" sheetId="3" r:id="rId3"/>
    <sheet name="Question 7 Dashboard" sheetId="5" r:id="rId4"/>
    <sheet name="Question 8" sheetId="4" r:id="rId5"/>
    <sheet name="Question 9" sheetId="6" r:id="rId6"/>
    <sheet name="Question 10" sheetId="7" r:id="rId7"/>
    <sheet name="Question 10 Answers" sheetId="8" r:id="rId8"/>
  </sheets>
  <definedNames>
    <definedName name="Slicer_Cause">#N/A</definedName>
    <definedName name="Slicer_Location">#N/A</definedName>
    <definedName name="Slicer_Severity">#N/A</definedName>
    <definedName name="Slicer_Vehicle_Type">#N/A</definedName>
    <definedName name="Slicer_Weather_Condition">#N/A</definedName>
  </definedNames>
  <calcPr calcId="191029"/>
  <pivotCaches>
    <pivotCache cacheId="0" r:id="rId9"/>
    <pivotCache cacheId="16"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10" i="8" l="1"/>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3" i="8"/>
  <c r="Q4" i="8"/>
  <c r="Q5" i="8"/>
  <c r="Q6" i="8"/>
  <c r="Q7" i="8"/>
  <c r="Q8" i="8"/>
  <c r="Q9" i="8"/>
  <c r="Q2"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3" i="8"/>
  <c r="P2"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27" i="8"/>
  <c r="O28" i="8"/>
  <c r="O29" i="8"/>
  <c r="O30" i="8"/>
  <c r="O31" i="8"/>
  <c r="O32" i="8"/>
  <c r="O33" i="8"/>
  <c r="O9" i="8"/>
  <c r="O10" i="8"/>
  <c r="O11" i="8"/>
  <c r="O12" i="8"/>
  <c r="O13" i="8"/>
  <c r="O14" i="8"/>
  <c r="O15" i="8"/>
  <c r="O16" i="8"/>
  <c r="O17" i="8"/>
  <c r="O18" i="8"/>
  <c r="O19" i="8"/>
  <c r="O20" i="8"/>
  <c r="O21" i="8"/>
  <c r="O22" i="8"/>
  <c r="O23" i="8"/>
  <c r="O24" i="8"/>
  <c r="O25" i="8"/>
  <c r="O26" i="8"/>
  <c r="O3" i="8"/>
  <c r="O4" i="8"/>
  <c r="O5" i="8"/>
  <c r="O6" i="8"/>
  <c r="O7" i="8"/>
  <c r="O8" i="8"/>
  <c r="O2" i="8"/>
  <c r="E4" i="2"/>
  <c r="D4" i="2"/>
  <c r="O7" i="6"/>
  <c r="E5" i="2"/>
  <c r="E6" i="2"/>
  <c r="E7" i="2"/>
  <c r="E8" i="2"/>
  <c r="E9" i="2"/>
  <c r="E10" i="2"/>
  <c r="E11" i="2"/>
  <c r="D5" i="2"/>
  <c r="D6" i="2"/>
  <c r="D7" i="2"/>
  <c r="D8" i="2"/>
  <c r="D9" i="2"/>
  <c r="D10" i="2"/>
  <c r="D11" i="2"/>
</calcChain>
</file>

<file path=xl/sharedStrings.xml><?xml version="1.0" encoding="utf-8"?>
<sst xmlns="http://schemas.openxmlformats.org/spreadsheetml/2006/main" count="2862" uniqueCount="512">
  <si>
    <t xml:space="preserve">Question 1 : Explain the difference between Absolute, Relative, and Mixed Cell Referencing in Excel with examples. </t>
  </si>
  <si>
    <t>Relative Cell Reference</t>
  </si>
  <si>
    <t>:-</t>
  </si>
  <si>
    <t>A relative reference changes automatically when a formula is copied to another cell.</t>
  </si>
  <si>
    <r>
      <t>Example:</t>
    </r>
    <r>
      <rPr>
        <sz val="11"/>
        <color theme="1"/>
        <rFont val="Calibri"/>
        <family val="2"/>
        <scheme val="minor"/>
      </rPr>
      <t xml:space="preserve"> If the formula </t>
    </r>
    <r>
      <rPr>
        <sz val="10"/>
        <color theme="1"/>
        <rFont val="Arial Unicode MS"/>
      </rPr>
      <t>=A2+B2</t>
    </r>
    <r>
      <rPr>
        <sz val="11"/>
        <color theme="1"/>
        <rFont val="Calibri"/>
        <family val="2"/>
        <scheme val="minor"/>
      </rPr>
      <t xml:space="preserve"> is written in cell C2 and copied to C3, it becomes </t>
    </r>
    <r>
      <rPr>
        <sz val="10"/>
        <color theme="1"/>
        <rFont val="Arial Unicode MS"/>
      </rPr>
      <t>=A3+B3</t>
    </r>
    <r>
      <rPr>
        <sz val="11"/>
        <color theme="1"/>
        <rFont val="Calibri"/>
        <family val="2"/>
        <scheme val="minor"/>
      </rPr>
      <t>.</t>
    </r>
  </si>
  <si>
    <t>Absolute Cell Reference</t>
  </si>
  <si>
    <r>
      <t xml:space="preserve">An absolute reference remains fixed, even when the formula is copied. It uses the </t>
    </r>
    <r>
      <rPr>
        <sz val="10"/>
        <color theme="1"/>
        <rFont val="Arial Unicode MS"/>
      </rPr>
      <t>$</t>
    </r>
    <r>
      <rPr>
        <sz val="11"/>
        <color theme="1"/>
        <rFont val="Calibri"/>
        <family val="2"/>
        <scheme val="minor"/>
      </rPr>
      <t xml:space="preserve"> symbol to lock the row and column.</t>
    </r>
  </si>
  <si>
    <r>
      <t>Example:</t>
    </r>
    <r>
      <rPr>
        <sz val="11"/>
        <color theme="1"/>
        <rFont val="Calibri"/>
        <family val="2"/>
        <scheme val="minor"/>
      </rPr>
      <t xml:space="preserve"> </t>
    </r>
    <r>
      <rPr>
        <sz val="10"/>
        <color theme="1"/>
        <rFont val="Arial Unicode MS"/>
      </rPr>
      <t>=A2*$D$1</t>
    </r>
    <r>
      <rPr>
        <sz val="11"/>
        <color theme="1"/>
        <rFont val="Calibri"/>
        <family val="2"/>
        <scheme val="minor"/>
      </rPr>
      <t xml:space="preserve"> will always refer to cell D1, even when copied to other cells.</t>
    </r>
  </si>
  <si>
    <t>Mixed Cell Reference</t>
  </si>
  <si>
    <t>A mixed reference locks either the row or the column, but not both.</t>
  </si>
  <si>
    <r>
      <t>Example:</t>
    </r>
    <r>
      <rPr>
        <sz val="11"/>
        <color theme="1"/>
        <rFont val="Calibri"/>
        <family val="2"/>
        <scheme val="minor"/>
      </rPr>
      <t xml:space="preserve"> </t>
    </r>
    <r>
      <rPr>
        <sz val="10"/>
        <color theme="1"/>
        <rFont val="Arial Unicode MS"/>
      </rPr>
      <t>$A1</t>
    </r>
    <r>
      <rPr>
        <sz val="11"/>
        <color theme="1"/>
        <rFont val="Calibri"/>
        <family val="2"/>
        <scheme val="minor"/>
      </rPr>
      <t xml:space="preserve"> fixes the column while allowing the row to change, and </t>
    </r>
    <r>
      <rPr>
        <sz val="10"/>
        <color theme="1"/>
        <rFont val="Arial Unicode MS"/>
      </rPr>
      <t>A$1</t>
    </r>
    <r>
      <rPr>
        <sz val="11"/>
        <color theme="1"/>
        <rFont val="Calibri"/>
        <family val="2"/>
        <scheme val="minor"/>
      </rPr>
      <t xml:space="preserve"> fixes the row while allowing the column to change.</t>
    </r>
  </si>
  <si>
    <t xml:space="preserve">Question 2 :  What is a Macro in Excel? How does it help in automation? </t>
  </si>
  <si>
    <r>
      <t xml:space="preserve">A </t>
    </r>
    <r>
      <rPr>
        <b/>
        <sz val="11"/>
        <color theme="1"/>
        <rFont val="Calibri"/>
        <family val="2"/>
        <scheme val="minor"/>
      </rPr>
      <t>Macro in Excel</t>
    </r>
    <r>
      <rPr>
        <sz val="11"/>
        <color theme="1"/>
        <rFont val="Calibri"/>
        <family val="2"/>
        <scheme val="minor"/>
      </rPr>
      <t xml:space="preserve"> is a set of recorded or written instructions (using </t>
    </r>
    <r>
      <rPr>
        <b/>
        <sz val="11"/>
        <color theme="1"/>
        <rFont val="Calibri"/>
        <family val="2"/>
        <scheme val="minor"/>
      </rPr>
      <t>VBA – Visual Basic for Applications</t>
    </r>
    <r>
      <rPr>
        <sz val="11"/>
        <color theme="1"/>
        <rFont val="Calibri"/>
        <family val="2"/>
        <scheme val="minor"/>
      </rPr>
      <t>) that automates repetitive tasks</t>
    </r>
  </si>
  <si>
    <t>.</t>
  </si>
  <si>
    <t>It allows Excel to perform a sequence of actions automatically with a single click or shortcut.</t>
  </si>
  <si>
    <t>How it helps in automation:</t>
  </si>
  <si>
    <t>Saves time by automating repetitive tasks like formatting, calculations, and report generation.</t>
  </si>
  <si>
    <t>Reduces human errors by performing tasks consistently.</t>
  </si>
  <si>
    <t>Improves productivity by executing complex steps quickly.</t>
  </si>
  <si>
    <t xml:space="preserve">Question 3 :  What are Text Functions in Excel? Mention any five with examples. </t>
  </si>
  <si>
    <r>
      <t>Text Functions in Excel</t>
    </r>
    <r>
      <rPr>
        <sz val="11"/>
        <color theme="1"/>
        <rFont val="Calibri"/>
        <family val="2"/>
        <scheme val="minor"/>
      </rPr>
      <t xml:space="preserve"> are used to manipulate, clean, and format text (string) data.</t>
    </r>
  </si>
  <si>
    <t>They help in tasks like combining text, extracting specific characters, changing text case, and removing unwanted spaces.</t>
  </si>
  <si>
    <t>Five Text Functions with Examples:</t>
  </si>
  <si>
    <t>Extracts a specified number of characters from the left side of a text.</t>
  </si>
  <si>
    <r>
      <t>Example:</t>
    </r>
    <r>
      <rPr>
        <sz val="11"/>
        <color theme="1"/>
        <rFont val="Calibri"/>
        <family val="2"/>
        <scheme val="minor"/>
      </rPr>
      <t xml:space="preserve"> </t>
    </r>
    <r>
      <rPr>
        <sz val="10"/>
        <color theme="1"/>
        <rFont val="Arial Unicode MS"/>
      </rPr>
      <t>=LEFT("Excel",2)</t>
    </r>
    <r>
      <rPr>
        <sz val="11"/>
        <color theme="1"/>
        <rFont val="Calibri"/>
        <family val="2"/>
        <scheme val="minor"/>
      </rPr>
      <t xml:space="preserve"> → </t>
    </r>
    <r>
      <rPr>
        <b/>
        <sz val="11"/>
        <color theme="1"/>
        <rFont val="Calibri"/>
        <family val="2"/>
        <scheme val="minor"/>
      </rPr>
      <t>Ex</t>
    </r>
  </si>
  <si>
    <t>1.Left ( )</t>
  </si>
  <si>
    <t>2.Right( )</t>
  </si>
  <si>
    <t>Extracts a specified number of characters from the right side of a text.</t>
  </si>
  <si>
    <r>
      <t>Example:</t>
    </r>
    <r>
      <rPr>
        <sz val="11"/>
        <color theme="1"/>
        <rFont val="Calibri"/>
        <family val="2"/>
        <scheme val="minor"/>
      </rPr>
      <t xml:space="preserve"> </t>
    </r>
    <r>
      <rPr>
        <sz val="10"/>
        <color theme="1"/>
        <rFont val="Arial Unicode MS"/>
      </rPr>
      <t>=RIGHT("Excel",3)</t>
    </r>
    <r>
      <rPr>
        <sz val="11"/>
        <color theme="1"/>
        <rFont val="Calibri"/>
        <family val="2"/>
        <scheme val="minor"/>
      </rPr>
      <t xml:space="preserve"> → </t>
    </r>
    <r>
      <rPr>
        <b/>
        <sz val="11"/>
        <color theme="1"/>
        <rFont val="Calibri"/>
        <family val="2"/>
        <scheme val="minor"/>
      </rPr>
      <t>cel</t>
    </r>
  </si>
  <si>
    <t>3.Mid( )</t>
  </si>
  <si>
    <t>Extracts characters from the middle of a text.</t>
  </si>
  <si>
    <r>
      <t>Example:</t>
    </r>
    <r>
      <rPr>
        <sz val="11"/>
        <color theme="1"/>
        <rFont val="Calibri"/>
        <family val="2"/>
        <scheme val="minor"/>
      </rPr>
      <t xml:space="preserve"> </t>
    </r>
    <r>
      <rPr>
        <sz val="10"/>
        <color theme="1"/>
        <rFont val="Arial Unicode MS"/>
      </rPr>
      <t>=MID("Excel",2,3)</t>
    </r>
    <r>
      <rPr>
        <sz val="11"/>
        <color theme="1"/>
        <rFont val="Calibri"/>
        <family val="2"/>
        <scheme val="minor"/>
      </rPr>
      <t xml:space="preserve"> → </t>
    </r>
    <r>
      <rPr>
        <b/>
        <sz val="11"/>
        <color theme="1"/>
        <rFont val="Calibri"/>
        <family val="2"/>
        <scheme val="minor"/>
      </rPr>
      <t>xce</t>
    </r>
  </si>
  <si>
    <t>4.Concat( )</t>
  </si>
  <si>
    <t>Joins two or more text strings into one.</t>
  </si>
  <si>
    <r>
      <t>Example:</t>
    </r>
    <r>
      <rPr>
        <sz val="11"/>
        <color theme="1"/>
        <rFont val="Calibri"/>
        <family val="2"/>
        <scheme val="minor"/>
      </rPr>
      <t xml:space="preserve"> </t>
    </r>
    <r>
      <rPr>
        <sz val="10"/>
        <color theme="1"/>
        <rFont val="Arial Unicode MS"/>
      </rPr>
      <t>=CONCAT("Data"," Analysis")</t>
    </r>
    <r>
      <rPr>
        <sz val="11"/>
        <color theme="1"/>
        <rFont val="Calibri"/>
        <family val="2"/>
        <scheme val="minor"/>
      </rPr>
      <t xml:space="preserve"> → </t>
    </r>
    <r>
      <rPr>
        <b/>
        <sz val="11"/>
        <color theme="1"/>
        <rFont val="Calibri"/>
        <family val="2"/>
        <scheme val="minor"/>
      </rPr>
      <t>Data Analysis</t>
    </r>
  </si>
  <si>
    <t>5.Upper( )</t>
  </si>
  <si>
    <t>Converts text to uppercase letters.</t>
  </si>
  <si>
    <r>
      <t>Example:</t>
    </r>
    <r>
      <rPr>
        <sz val="11"/>
        <color theme="1"/>
        <rFont val="Calibri"/>
        <family val="2"/>
        <scheme val="minor"/>
      </rPr>
      <t xml:space="preserve"> </t>
    </r>
    <r>
      <rPr>
        <sz val="10"/>
        <color theme="1"/>
        <rFont val="Arial Unicode MS"/>
      </rPr>
      <t>=UPPER("excel")</t>
    </r>
    <r>
      <rPr>
        <sz val="11"/>
        <color theme="1"/>
        <rFont val="Calibri"/>
        <family val="2"/>
        <scheme val="minor"/>
      </rPr>
      <t xml:space="preserve"> → </t>
    </r>
    <r>
      <rPr>
        <b/>
        <sz val="11"/>
        <color theme="1"/>
        <rFont val="Calibri"/>
        <family val="2"/>
        <scheme val="minor"/>
      </rPr>
      <t>EXCEL</t>
    </r>
  </si>
  <si>
    <t xml:space="preserve">Question 4 : What is the use of Scenario Manager in decision making? </t>
  </si>
  <si>
    <r>
      <t>Scenario Manager</t>
    </r>
    <r>
      <rPr>
        <sz val="11"/>
        <color theme="1"/>
        <rFont val="Calibri"/>
        <family val="2"/>
        <scheme val="minor"/>
      </rPr>
      <t xml:space="preserve"> in Excel is a </t>
    </r>
    <r>
      <rPr>
        <i/>
        <sz val="11"/>
        <color theme="1"/>
        <rFont val="Calibri"/>
        <family val="2"/>
        <scheme val="minor"/>
      </rPr>
      <t>What-If Analysis</t>
    </r>
    <r>
      <rPr>
        <sz val="11"/>
        <color theme="1"/>
        <rFont val="Calibri"/>
        <family val="2"/>
        <scheme val="minor"/>
      </rPr>
      <t xml:space="preserve"> tool used to evaluate different possible outcomes by changing multiple input values at the same time.</t>
    </r>
  </si>
  <si>
    <t>It helps users compare various scenarios without altering the original data.</t>
  </si>
  <si>
    <t>How it helps in decision making:</t>
  </si>
  <si>
    <r>
      <t xml:space="preserve">Allows comparison of </t>
    </r>
    <r>
      <rPr>
        <b/>
        <sz val="11"/>
        <color theme="1"/>
        <rFont val="Calibri"/>
        <family val="2"/>
        <scheme val="minor"/>
      </rPr>
      <t>best-case, worst-case, and most-likely</t>
    </r>
    <r>
      <rPr>
        <sz val="11"/>
        <color theme="1"/>
        <rFont val="Calibri"/>
        <family val="2"/>
        <scheme val="minor"/>
      </rPr>
      <t xml:space="preserve"> scenarios.</t>
    </r>
  </si>
  <si>
    <t>Helps analyze the impact of different assumptions on results.</t>
  </si>
  <si>
    <t>Supports better planning and forecasting.</t>
  </si>
  <si>
    <t xml:space="preserve">Question 5 : Define the purpose of VLOOKUP and HLOOKUP. How are they different from XLOOKUP? Which among XLOOKUP and INDEX-MATCH is best while usage? </t>
  </si>
  <si>
    <r>
      <t>VLOOKUP</t>
    </r>
    <r>
      <rPr>
        <sz val="11"/>
        <color theme="1"/>
        <rFont val="Calibri"/>
        <family val="2"/>
        <scheme val="minor"/>
      </rPr>
      <t xml:space="preserve"> is used to search for a value in the first column of a table and return a related value from another column in the same row.</t>
    </r>
  </si>
  <si>
    <r>
      <t>HLOOKUP</t>
    </r>
    <r>
      <rPr>
        <sz val="11"/>
        <color theme="1"/>
        <rFont val="Calibri"/>
        <family val="2"/>
        <scheme val="minor"/>
      </rPr>
      <t xml:space="preserve"> performs a similar function but searches for a value in the first row of a table and returns data from another row.</t>
    </r>
  </si>
  <si>
    <r>
      <t>XLOOKUP</t>
    </r>
    <r>
      <rPr>
        <sz val="11"/>
        <color theme="1"/>
        <rFont val="Calibri"/>
        <family val="2"/>
        <scheme val="minor"/>
      </rPr>
      <t xml:space="preserve"> is an advanced lookup function that overcomes the limitations of VLOOKUP and HLOOKUP.</t>
    </r>
  </si>
  <si>
    <t>Unlike them, XLOOKUP can search in any direction, does not require the lookup value to be in the first row or column, and does not break when columns or rows are inserted.</t>
  </si>
  <si>
    <t>Difference:</t>
  </si>
  <si>
    <t>VLOOKUP and HLOOKUP are limited in flexibility and direction, while XLOOKUP is more powerful, accurate, and easier to maintain.</t>
  </si>
  <si>
    <t>XLOOKUP vs INDEX-MATCH:</t>
  </si>
  <si>
    <t>XLOOKUP is generally better for usage because it is simpler to write, easier to understand, and handles errors naturally.</t>
  </si>
  <si>
    <r>
      <t xml:space="preserve">INDEX-MATCH is useful for complex scenarios and older Excel versions, but for most users and modern Excel, </t>
    </r>
    <r>
      <rPr>
        <b/>
        <sz val="11"/>
        <color theme="1"/>
        <rFont val="Calibri"/>
        <family val="2"/>
        <scheme val="minor"/>
      </rPr>
      <t>XLOOKUP is the better choice</t>
    </r>
    <r>
      <rPr>
        <sz val="11"/>
        <color theme="1"/>
        <rFont val="Calibri"/>
        <family val="2"/>
        <scheme val="minor"/>
      </rPr>
      <t>.</t>
    </r>
  </si>
  <si>
    <t xml:space="preserve">Question 6 : Create a dataset of 8 employees with joining dates. Use the dummy dataset to calculate their experience in years and months. </t>
  </si>
  <si>
    <t>Emp ID</t>
  </si>
  <si>
    <t>Employee Name</t>
  </si>
  <si>
    <t>Joining Date</t>
  </si>
  <si>
    <t>Experience (Years)</t>
  </si>
  <si>
    <t>Experience (Months)</t>
  </si>
  <si>
    <t>E001</t>
  </si>
  <si>
    <t>Rahul Sharma</t>
  </si>
  <si>
    <t>E002</t>
  </si>
  <si>
    <t>Anjali Verma</t>
  </si>
  <si>
    <t>E003</t>
  </si>
  <si>
    <t>Amit Patel</t>
  </si>
  <si>
    <t>E004</t>
  </si>
  <si>
    <t>Neha Singh</t>
  </si>
  <si>
    <t>E005</t>
  </si>
  <si>
    <t>Rohan Mehta</t>
  </si>
  <si>
    <t>E006</t>
  </si>
  <si>
    <t>Pooja Nair</t>
  </si>
  <si>
    <t>E007</t>
  </si>
  <si>
    <t>Karan Gupta</t>
  </si>
  <si>
    <t>E008</t>
  </si>
  <si>
    <t>Sneha Iyer</t>
  </si>
  <si>
    <t xml:space="preserve">Question 7 : You are provided with a dataset containing details of 100 road accidents.Design a Road Accident Analysis Dashboard using Pivot Tables and Slicers in Excel. </t>
  </si>
  <si>
    <t>Accident ID</t>
  </si>
  <si>
    <t>Date</t>
  </si>
  <si>
    <t>Location</t>
  </si>
  <si>
    <t>Accident Type</t>
  </si>
  <si>
    <t>Vehicle Type</t>
  </si>
  <si>
    <t>Weather Condition</t>
  </si>
  <si>
    <t>Road Condition</t>
  </si>
  <si>
    <t>Severity</t>
  </si>
  <si>
    <t>Cause</t>
  </si>
  <si>
    <t>Casualties</t>
  </si>
  <si>
    <t>AID0001</t>
  </si>
  <si>
    <t>Hyderabad</t>
  </si>
  <si>
    <t>Overturn</t>
  </si>
  <si>
    <t>Auto-Rickshaw</t>
  </si>
  <si>
    <t>Clear</t>
  </si>
  <si>
    <t>Dry</t>
  </si>
  <si>
    <t>Moderate</t>
  </si>
  <si>
    <t>Overtaking</t>
  </si>
  <si>
    <t>AID0002</t>
  </si>
  <si>
    <t>Mumbai</t>
  </si>
  <si>
    <t>Foggy</t>
  </si>
  <si>
    <t>Damaged</t>
  </si>
  <si>
    <t>Distracted Driving</t>
  </si>
  <si>
    <t>AID0003</t>
  </si>
  <si>
    <t>Bicycle</t>
  </si>
  <si>
    <t>Windy</t>
  </si>
  <si>
    <t>Under Construction</t>
  </si>
  <si>
    <t>Fatal</t>
  </si>
  <si>
    <t>AID0004</t>
  </si>
  <si>
    <t>Pune</t>
  </si>
  <si>
    <t>Collision</t>
  </si>
  <si>
    <t>Truck</t>
  </si>
  <si>
    <t>Brake Failure</t>
  </si>
  <si>
    <t>AID0005</t>
  </si>
  <si>
    <t>Bangalore</t>
  </si>
  <si>
    <t>Animal Hit</t>
  </si>
  <si>
    <t>Weather</t>
  </si>
  <si>
    <t>AID0006</t>
  </si>
  <si>
    <t>Car</t>
  </si>
  <si>
    <t>Rainy</t>
  </si>
  <si>
    <t>Minor</t>
  </si>
  <si>
    <t>Drunk Driving</t>
  </si>
  <si>
    <t>AID0007</t>
  </si>
  <si>
    <t>Delhi</t>
  </si>
  <si>
    <t>Speeding</t>
  </si>
  <si>
    <t>AID0008</t>
  </si>
  <si>
    <t>Wet</t>
  </si>
  <si>
    <t>AID0009</t>
  </si>
  <si>
    <t>AID0010</t>
  </si>
  <si>
    <t>Ahmedabad</t>
  </si>
  <si>
    <t>Motorcycle</t>
  </si>
  <si>
    <t>Severe</t>
  </si>
  <si>
    <t>AID0011</t>
  </si>
  <si>
    <t>Object Hit</t>
  </si>
  <si>
    <t>AID0012</t>
  </si>
  <si>
    <t>Pedestrian Hit</t>
  </si>
  <si>
    <t>AID0013</t>
  </si>
  <si>
    <t>AID0014</t>
  </si>
  <si>
    <t>Chennai</t>
  </si>
  <si>
    <t>Bus</t>
  </si>
  <si>
    <t>AID0015</t>
  </si>
  <si>
    <t>AID0016</t>
  </si>
  <si>
    <t>AID0017</t>
  </si>
  <si>
    <t>AID0018</t>
  </si>
  <si>
    <t>Kolkata</t>
  </si>
  <si>
    <t>AID0019</t>
  </si>
  <si>
    <t>AID0020</t>
  </si>
  <si>
    <t>AID0021</t>
  </si>
  <si>
    <t>AID0022</t>
  </si>
  <si>
    <t>AID0023</t>
  </si>
  <si>
    <t>AID0024</t>
  </si>
  <si>
    <t>AID0025</t>
  </si>
  <si>
    <t>AID0026</t>
  </si>
  <si>
    <t>AID0027</t>
  </si>
  <si>
    <t>AID0028</t>
  </si>
  <si>
    <t>AID0029</t>
  </si>
  <si>
    <t>AID0030</t>
  </si>
  <si>
    <t>AID0031</t>
  </si>
  <si>
    <t>AID0032</t>
  </si>
  <si>
    <t>AID0033</t>
  </si>
  <si>
    <t>AID0034</t>
  </si>
  <si>
    <t>AID0035</t>
  </si>
  <si>
    <t>AID0036</t>
  </si>
  <si>
    <t>AID0037</t>
  </si>
  <si>
    <t>AID0038</t>
  </si>
  <si>
    <t>AID0039</t>
  </si>
  <si>
    <t>AID0040</t>
  </si>
  <si>
    <t>AID0041</t>
  </si>
  <si>
    <t>AID0042</t>
  </si>
  <si>
    <t>AID0043</t>
  </si>
  <si>
    <t>AID0044</t>
  </si>
  <si>
    <t>AID0045</t>
  </si>
  <si>
    <t>AID0046</t>
  </si>
  <si>
    <t>AID0047</t>
  </si>
  <si>
    <t>AID0048</t>
  </si>
  <si>
    <t>AID0049</t>
  </si>
  <si>
    <t>AID0050</t>
  </si>
  <si>
    <t>AID0051</t>
  </si>
  <si>
    <t>AID0052</t>
  </si>
  <si>
    <t>AID0053</t>
  </si>
  <si>
    <t>AID0054</t>
  </si>
  <si>
    <t>AID0055</t>
  </si>
  <si>
    <t>AID0056</t>
  </si>
  <si>
    <t>AID0057</t>
  </si>
  <si>
    <t>AID0058</t>
  </si>
  <si>
    <t>AID0059</t>
  </si>
  <si>
    <t>AID0060</t>
  </si>
  <si>
    <t>AID0061</t>
  </si>
  <si>
    <t>AID0062</t>
  </si>
  <si>
    <t>AID0063</t>
  </si>
  <si>
    <t>AID0064</t>
  </si>
  <si>
    <t>AID0065</t>
  </si>
  <si>
    <t>AID0066</t>
  </si>
  <si>
    <t>AID0067</t>
  </si>
  <si>
    <t>AID0068</t>
  </si>
  <si>
    <t>AID0069</t>
  </si>
  <si>
    <t>AID0070</t>
  </si>
  <si>
    <t>AID0071</t>
  </si>
  <si>
    <t>AID0072</t>
  </si>
  <si>
    <t>AID0073</t>
  </si>
  <si>
    <t>AID0074</t>
  </si>
  <si>
    <t>AID0075</t>
  </si>
  <si>
    <t>AID0076</t>
  </si>
  <si>
    <t>AID0077</t>
  </si>
  <si>
    <t>AID0078</t>
  </si>
  <si>
    <t>AID0079</t>
  </si>
  <si>
    <t>AID0080</t>
  </si>
  <si>
    <t>AID0081</t>
  </si>
  <si>
    <t>AID0082</t>
  </si>
  <si>
    <t>AID0083</t>
  </si>
  <si>
    <t>AID0084</t>
  </si>
  <si>
    <t>AID0085</t>
  </si>
  <si>
    <t>AID0086</t>
  </si>
  <si>
    <t>AID0087</t>
  </si>
  <si>
    <t>AID0088</t>
  </si>
  <si>
    <t>AID0089</t>
  </si>
  <si>
    <t>AID0090</t>
  </si>
  <si>
    <t>AID0091</t>
  </si>
  <si>
    <t>AID0092</t>
  </si>
  <si>
    <t>AID0093</t>
  </si>
  <si>
    <t>AID0094</t>
  </si>
  <si>
    <t>AID0095</t>
  </si>
  <si>
    <t>AID0096</t>
  </si>
  <si>
    <t>AID0097</t>
  </si>
  <si>
    <t>AID0098</t>
  </si>
  <si>
    <t>AID0099</t>
  </si>
  <si>
    <t>AID0100</t>
  </si>
  <si>
    <t>Row Labels</t>
  </si>
  <si>
    <t>Grand Total</t>
  </si>
  <si>
    <t>Count of Accident ID</t>
  </si>
  <si>
    <t xml:space="preserve">Question 8 :  Create a table of 10 products with stock levels. Use Macros to highlight: ● Low stock (less than 10 units) in red ● Overstock (more than 50 units) in green. </t>
  </si>
  <si>
    <t>Product ID</t>
  </si>
  <si>
    <t>Product Name</t>
  </si>
  <si>
    <t>Stock Level</t>
  </si>
  <si>
    <t>P001</t>
  </si>
  <si>
    <t>Laptop</t>
  </si>
  <si>
    <t>P002</t>
  </si>
  <si>
    <t>Mouse</t>
  </si>
  <si>
    <t>P003</t>
  </si>
  <si>
    <t>Keyboard</t>
  </si>
  <si>
    <t>P004</t>
  </si>
  <si>
    <t>Monitor</t>
  </si>
  <si>
    <t>P005</t>
  </si>
  <si>
    <t>Printer</t>
  </si>
  <si>
    <t>P006</t>
  </si>
  <si>
    <t>USB Cable</t>
  </si>
  <si>
    <t>P007</t>
  </si>
  <si>
    <t>Webcam</t>
  </si>
  <si>
    <t>P008</t>
  </si>
  <si>
    <t>Headphones</t>
  </si>
  <si>
    <t>P009</t>
  </si>
  <si>
    <t>Router</t>
  </si>
  <si>
    <t>P010</t>
  </si>
  <si>
    <t>Power Bank</t>
  </si>
  <si>
    <t xml:space="preserve">Question 9 : You are given a dataset : Create a drop-down list of product names in a separate cell using Data Validation, and write a formula in the adjacent cell so that when a product is selected from the drop-down, its corresponding price is automatically displayed. </t>
  </si>
  <si>
    <t>Order ID</t>
  </si>
  <si>
    <t>Customer Name</t>
  </si>
  <si>
    <t>Region</t>
  </si>
  <si>
    <t>Product Category</t>
  </si>
  <si>
    <t>Quantity</t>
  </si>
  <si>
    <t>Unit Price (?)</t>
  </si>
  <si>
    <t>Total Sales (?)</t>
  </si>
  <si>
    <t>Profit Margin (%)</t>
  </si>
  <si>
    <t>Customer Age</t>
  </si>
  <si>
    <t>Payment Mode</t>
  </si>
  <si>
    <t>North India</t>
  </si>
  <si>
    <t>Electronics</t>
  </si>
  <si>
    <t>Smartwatch</t>
  </si>
  <si>
    <t>Credit Card</t>
  </si>
  <si>
    <t>Amit Verma</t>
  </si>
  <si>
    <t>West India</t>
  </si>
  <si>
    <t>Home Decor</t>
  </si>
  <si>
    <t>Wall Clock</t>
  </si>
  <si>
    <t>COD</t>
  </si>
  <si>
    <t>Sneha Kapoor</t>
  </si>
  <si>
    <t>East India</t>
  </si>
  <si>
    <t>Bluetooth Speaker</t>
  </si>
  <si>
    <t>NetBanking</t>
  </si>
  <si>
    <t>Rajesh Kumar</t>
  </si>
  <si>
    <t>Fashion</t>
  </si>
  <si>
    <t>Jeans</t>
  </si>
  <si>
    <t>Priya Singh</t>
  </si>
  <si>
    <t>South India</t>
  </si>
  <si>
    <t>UPI</t>
  </si>
  <si>
    <t>Karan Malhotra</t>
  </si>
  <si>
    <t>Sofa Set</t>
  </si>
  <si>
    <t>Neha Gupta</t>
  </si>
  <si>
    <t>Dress</t>
  </si>
  <si>
    <t>Vikram Patel</t>
  </si>
  <si>
    <t>Smartphone</t>
  </si>
  <si>
    <t>Ayesha Kapoor</t>
  </si>
  <si>
    <t>Dining Table Set</t>
  </si>
  <si>
    <t>Amitabh Verma</t>
  </si>
  <si>
    <t>Leather Jacket</t>
  </si>
  <si>
    <t>Sneha Gupta</t>
  </si>
  <si>
    <t>Nikhil Kumar</t>
  </si>
  <si>
    <t>Floor Lamp</t>
  </si>
  <si>
    <t>Meera Sharma</t>
  </si>
  <si>
    <t>Sneakers</t>
  </si>
  <si>
    <t>Aditya Verma</t>
  </si>
  <si>
    <t>Gaming Console</t>
  </si>
  <si>
    <t>Rohan Malhotra</t>
  </si>
  <si>
    <t>Drone Camera</t>
  </si>
  <si>
    <t>Neha Kapoor</t>
  </si>
  <si>
    <t>TV</t>
  </si>
  <si>
    <t>Kunal Singh</t>
  </si>
  <si>
    <t>Smart Glasses</t>
  </si>
  <si>
    <t>Alisha Roy</t>
  </si>
  <si>
    <t>Recliner Sofa</t>
  </si>
  <si>
    <t>Tarun Mishra</t>
  </si>
  <si>
    <t>Washing Machine</t>
  </si>
  <si>
    <t>Earbuds</t>
  </si>
  <si>
    <t>Manish Tiwari</t>
  </si>
  <si>
    <t>Formal Shirt</t>
  </si>
  <si>
    <t>Shreya Desai</t>
  </si>
  <si>
    <t>Coffee Table</t>
  </si>
  <si>
    <t>Kabir Joshi</t>
  </si>
  <si>
    <t>Air Conditioner</t>
  </si>
  <si>
    <t>Anita Yadav</t>
  </si>
  <si>
    <t>Running Shoes</t>
  </si>
  <si>
    <t>Vivek Chopra</t>
  </si>
  <si>
    <t>Tablet</t>
  </si>
  <si>
    <t>Simran Kaur</t>
  </si>
  <si>
    <t>Neckband</t>
  </si>
  <si>
    <t>Nitin Bansal</t>
  </si>
  <si>
    <t>Bookshelf</t>
  </si>
  <si>
    <t>Rekha Reddy</t>
  </si>
  <si>
    <t>Microwave</t>
  </si>
  <si>
    <t>Gautam Saxena</t>
  </si>
  <si>
    <t>Backpack</t>
  </si>
  <si>
    <t>Preeti Rawat</t>
  </si>
  <si>
    <t>Gaming Mouse</t>
  </si>
  <si>
    <t>Ashok Sharma</t>
  </si>
  <si>
    <t>Leather Wallet</t>
  </si>
  <si>
    <t>Divya Nair</t>
  </si>
  <si>
    <t>Ceiling Fan</t>
  </si>
  <si>
    <t>Kiran Kapoor</t>
  </si>
  <si>
    <t>Sports Watch</t>
  </si>
  <si>
    <t>Yash Malhotra</t>
  </si>
  <si>
    <t>Anurag Verma</t>
  </si>
  <si>
    <t>Smart Bulb</t>
  </si>
  <si>
    <t>Ritika Shah</t>
  </si>
  <si>
    <t>Office Chair</t>
  </si>
  <si>
    <t>Tanmay Goel</t>
  </si>
  <si>
    <t>Blender</t>
  </si>
  <si>
    <t>Varun Singh</t>
  </si>
  <si>
    <t>Perfume</t>
  </si>
  <si>
    <t>Payal Mehta</t>
  </si>
  <si>
    <t>Snehal Desai</t>
  </si>
  <si>
    <t>LED Bulb</t>
  </si>
  <si>
    <t>Ajay Patel</t>
  </si>
  <si>
    <t>Gym Gloves</t>
  </si>
  <si>
    <t>Kritika Gupta</t>
  </si>
  <si>
    <t>Wall Art</t>
  </si>
  <si>
    <t>Dinesh Nair</t>
  </si>
  <si>
    <t>Priyanka Rao</t>
  </si>
  <si>
    <t>Sunglasses</t>
  </si>
  <si>
    <t>Harsh Malhotra</t>
  </si>
  <si>
    <t>Speaker</t>
  </si>
  <si>
    <t>Lavanya Kapoor</t>
  </si>
  <si>
    <t>Trolley Bag</t>
  </si>
  <si>
    <t>Aniket Shah</t>
  </si>
  <si>
    <t>Curtains</t>
  </si>
  <si>
    <t>Niharika Joshi</t>
  </si>
  <si>
    <t>Induction Stove</t>
  </si>
  <si>
    <t>Ravi Sharma</t>
  </si>
  <si>
    <t>Travel Pillow</t>
  </si>
  <si>
    <t xml:space="preserve">Question 10 : Case Scenario :- Dataset Link You are a data analyst working for a retail firm. You’ve received a sales dataset that includes customer transactions from various regions and product categories. Your job is to analyze this data, clean inconsistencies, extract insights, and build visual reports. </t>
  </si>
  <si>
    <t xml:space="preserve">Task :  1. Apply data validation in the Units Sold column to ensure only values between 1 and 20 are allowed. 2. Highlight rows where Profit &gt; ₹5000 3. Highlight any phone number that is not exactly 10 digits 4. Find the Revenue generated by each product and also label according to revenue generated as “High”, “Medium”, “Low”. 5. Find the profit percentage up to two decimal places. 6. Show Total Revenue and Total Profit by Region. 7. Show Average Units Sold per Product Category. </t>
  </si>
  <si>
    <t>Customer ID</t>
  </si>
  <si>
    <t>Country</t>
  </si>
  <si>
    <t>State</t>
  </si>
  <si>
    <t>Phone Number</t>
  </si>
  <si>
    <t>Category</t>
  </si>
  <si>
    <t>Product</t>
  </si>
  <si>
    <t>Price</t>
  </si>
  <si>
    <t>Units Sold</t>
  </si>
  <si>
    <t>Profit</t>
  </si>
  <si>
    <t>Mode of Payment</t>
  </si>
  <si>
    <t>Revenue</t>
  </si>
  <si>
    <t>Revenue Label</t>
  </si>
  <si>
    <t>Profit %</t>
  </si>
  <si>
    <t>CUST1000</t>
  </si>
  <si>
    <t>West</t>
  </si>
  <si>
    <t>India</t>
  </si>
  <si>
    <t>Karnataka</t>
  </si>
  <si>
    <t>Clothing</t>
  </si>
  <si>
    <t>Shirt</t>
  </si>
  <si>
    <t>High</t>
  </si>
  <si>
    <t>CUST1001</t>
  </si>
  <si>
    <t>Furniture</t>
  </si>
  <si>
    <t>Table</t>
  </si>
  <si>
    <t>Net Banking</t>
  </si>
  <si>
    <t>CUST1002</t>
  </si>
  <si>
    <t>South</t>
  </si>
  <si>
    <t>West Bengal</t>
  </si>
  <si>
    <t>T-shirt</t>
  </si>
  <si>
    <t>Low</t>
  </si>
  <si>
    <t>CUST1003</t>
  </si>
  <si>
    <t>Sofa</t>
  </si>
  <si>
    <t>Cash</t>
  </si>
  <si>
    <t>Medium</t>
  </si>
  <si>
    <t>CUST1004</t>
  </si>
  <si>
    <t>CUST1005</t>
  </si>
  <si>
    <t>CUST1006</t>
  </si>
  <si>
    <t>East</t>
  </si>
  <si>
    <t>Tamil Nadu</t>
  </si>
  <si>
    <t>CUST1007</t>
  </si>
  <si>
    <t>Chair</t>
  </si>
  <si>
    <t>CUST1008</t>
  </si>
  <si>
    <t>Maharashtra</t>
  </si>
  <si>
    <t>CUST1009</t>
  </si>
  <si>
    <t>Gujarat</t>
  </si>
  <si>
    <t>CUST1010</t>
  </si>
  <si>
    <t>Rajasthan</t>
  </si>
  <si>
    <t>CUST1011</t>
  </si>
  <si>
    <t>CUST1012</t>
  </si>
  <si>
    <t>North</t>
  </si>
  <si>
    <t>CUST1013</t>
  </si>
  <si>
    <t>CUST1014</t>
  </si>
  <si>
    <t>CUST1015</t>
  </si>
  <si>
    <t>CUST1016</t>
  </si>
  <si>
    <t>Jacket</t>
  </si>
  <si>
    <t>Debit Card</t>
  </si>
  <si>
    <t>CUST1017</t>
  </si>
  <si>
    <t>Uttar Pradesh</t>
  </si>
  <si>
    <t>CUST1018</t>
  </si>
  <si>
    <t>CUST1019</t>
  </si>
  <si>
    <t>CUST1020</t>
  </si>
  <si>
    <t>CUST1021</t>
  </si>
  <si>
    <t>CUST1022</t>
  </si>
  <si>
    <t>CUST1023</t>
  </si>
  <si>
    <t>CUST1024</t>
  </si>
  <si>
    <t>CUST1025</t>
  </si>
  <si>
    <t>CUST1026</t>
  </si>
  <si>
    <t>CUST1027</t>
  </si>
  <si>
    <t>CUST1028</t>
  </si>
  <si>
    <t>CUST1029</t>
  </si>
  <si>
    <t>Cupboard</t>
  </si>
  <si>
    <t>CUST1030</t>
  </si>
  <si>
    <t>CUST1031</t>
  </si>
  <si>
    <t>CUST1032</t>
  </si>
  <si>
    <t>CUST1033</t>
  </si>
  <si>
    <t>CUST1034</t>
  </si>
  <si>
    <t>CUST1035</t>
  </si>
  <si>
    <t>CUST1036</t>
  </si>
  <si>
    <t>CUST1037</t>
  </si>
  <si>
    <t>CUST1038</t>
  </si>
  <si>
    <t>CUST1039</t>
  </si>
  <si>
    <t>CUST1040</t>
  </si>
  <si>
    <t>CUST1041</t>
  </si>
  <si>
    <t>CUST1042</t>
  </si>
  <si>
    <t>CUST1043</t>
  </si>
  <si>
    <t>CUST1044</t>
  </si>
  <si>
    <t>CUST1045</t>
  </si>
  <si>
    <t>CUST1046</t>
  </si>
  <si>
    <t>CUST1047</t>
  </si>
  <si>
    <t>CUST1048</t>
  </si>
  <si>
    <t>CUST1049</t>
  </si>
  <si>
    <t>CUST1050</t>
  </si>
  <si>
    <t>CUST1051</t>
  </si>
  <si>
    <t>CUST1052</t>
  </si>
  <si>
    <t>CUST1053</t>
  </si>
  <si>
    <t>CUST1054</t>
  </si>
  <si>
    <t>CUST1055</t>
  </si>
  <si>
    <t>CUST1056</t>
  </si>
  <si>
    <t>CUST1057</t>
  </si>
  <si>
    <t>CUST1058</t>
  </si>
  <si>
    <t>CUST1059</t>
  </si>
  <si>
    <t>CUST1060</t>
  </si>
  <si>
    <t>CUST1061</t>
  </si>
  <si>
    <t>CUST1062</t>
  </si>
  <si>
    <t>CUST1063</t>
  </si>
  <si>
    <t>CUST1064</t>
  </si>
  <si>
    <t>CUST1065</t>
  </si>
  <si>
    <t>CUST1066</t>
  </si>
  <si>
    <t>CUST1067</t>
  </si>
  <si>
    <t>CUST1068</t>
  </si>
  <si>
    <t>CUST1069</t>
  </si>
  <si>
    <t>CUST1070</t>
  </si>
  <si>
    <t>CUST1071</t>
  </si>
  <si>
    <t>CUST1072</t>
  </si>
  <si>
    <t>CUST1073</t>
  </si>
  <si>
    <t>CUST1074</t>
  </si>
  <si>
    <t>CUST1075</t>
  </si>
  <si>
    <t>CUST1076</t>
  </si>
  <si>
    <t>CUST1077</t>
  </si>
  <si>
    <t>CUST1078</t>
  </si>
  <si>
    <t>CUST1079</t>
  </si>
  <si>
    <t>CUST1080</t>
  </si>
  <si>
    <t>CUST1081</t>
  </si>
  <si>
    <t>CUST1082</t>
  </si>
  <si>
    <t>CUST1083</t>
  </si>
  <si>
    <t>CUST1084</t>
  </si>
  <si>
    <t>CUST1085</t>
  </si>
  <si>
    <t>CUST1086</t>
  </si>
  <si>
    <t>CUST1087</t>
  </si>
  <si>
    <t>CUST1088</t>
  </si>
  <si>
    <t>CUST1089</t>
  </si>
  <si>
    <t>CUST1090</t>
  </si>
  <si>
    <t>CUST1091</t>
  </si>
  <si>
    <t>CUST1092</t>
  </si>
  <si>
    <t>CUST1093</t>
  </si>
  <si>
    <t>CUST1094</t>
  </si>
  <si>
    <t>CUST1095</t>
  </si>
  <si>
    <t>CUST1096</t>
  </si>
  <si>
    <t>CUST1097</t>
  </si>
  <si>
    <t>CUST1098</t>
  </si>
  <si>
    <t>CUST1099</t>
  </si>
  <si>
    <t>Ranks</t>
  </si>
  <si>
    <t>Total amount</t>
  </si>
  <si>
    <t>Sum of Total amount</t>
  </si>
  <si>
    <t>Average of Units Sold</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</si>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</sst>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sz val="10"/>
      <color theme="1"/>
      <name val="Arial Unicode MS"/>
    </font>
    <font>
      <i/>
      <sz val="11"/>
      <color theme="1"/>
      <name val="Calibri"/>
      <family val="2"/>
      <scheme val="minor"/>
    </font>
    <font>
      <b/>
      <sz val="10"/>
      <color theme="1"/>
      <name val="Arial"/>
      <family val="2"/>
    </font>
    <font>
      <sz val="10"/>
      <color theme="1"/>
      <name val="Arial"/>
      <family val="2"/>
    </font>
    <font>
      <sz val="11"/>
      <color rgb="FF9C0006"/>
      <name val="Calibri"/>
      <family val="2"/>
      <scheme val="minor"/>
    </font>
    <font>
      <sz val="11"/>
      <color rgb="FF9C5700"/>
      <name val="Calibri"/>
      <family val="2"/>
      <scheme val="minor"/>
    </font>
    <font>
      <b/>
      <sz val="11"/>
      <color rgb="FF000000"/>
      <name val="Calibri"/>
      <family val="2"/>
      <scheme val="minor"/>
    </font>
    <font>
      <sz val="11"/>
      <color rgb="FF000000"/>
      <name val="Calibri"/>
      <family val="2"/>
      <scheme val="minor"/>
    </font>
  </fonts>
  <fills count="6">
    <fill>
      <patternFill patternType="none"/>
    </fill>
    <fill>
      <patternFill patternType="gray125"/>
    </fill>
    <fill>
      <patternFill patternType="solid">
        <fgColor rgb="FFFF0000"/>
        <bgColor indexed="64"/>
      </patternFill>
    </fill>
    <fill>
      <patternFill patternType="solid">
        <fgColor rgb="FF00FF00"/>
        <bgColor indexed="64"/>
      </patternFill>
    </fill>
    <fill>
      <patternFill patternType="solid">
        <fgColor rgb="FFFFC7CE"/>
        <bgColor rgb="FF000000"/>
      </patternFill>
    </fill>
    <fill>
      <patternFill patternType="solid">
        <fgColor rgb="FFFFEB9C"/>
        <bgColor rgb="FF000000"/>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33">
    <xf numFmtId="0" fontId="0" fillId="0" borderId="0" xfId="0"/>
    <xf numFmtId="0" fontId="1" fillId="0" borderId="0" xfId="0" applyFont="1"/>
    <xf numFmtId="14" fontId="0" fillId="0" borderId="0" xfId="0" applyNumberFormat="1"/>
    <xf numFmtId="0" fontId="5" fillId="0" borderId="1" xfId="0" applyFont="1" applyBorder="1" applyAlignment="1">
      <alignment wrapText="1"/>
    </xf>
    <xf numFmtId="14" fontId="5" fillId="0" borderId="1" xfId="0" applyNumberFormat="1" applyFont="1" applyBorder="1" applyAlignment="1">
      <alignment horizontal="right" wrapText="1"/>
    </xf>
    <xf numFmtId="0" fontId="5" fillId="0" borderId="2" xfId="0" applyFont="1" applyBorder="1" applyAlignment="1">
      <alignment wrapText="1"/>
    </xf>
    <xf numFmtId="0" fontId="5" fillId="0" borderId="3" xfId="0" applyFont="1" applyBorder="1" applyAlignment="1">
      <alignment horizontal="right" wrapText="1"/>
    </xf>
    <xf numFmtId="0" fontId="4" fillId="0" borderId="4" xfId="0" applyFont="1" applyBorder="1" applyAlignment="1">
      <alignment wrapText="1"/>
    </xf>
    <xf numFmtId="0" fontId="4" fillId="0" borderId="5" xfId="0" applyFont="1" applyBorder="1" applyAlignment="1">
      <alignment wrapText="1"/>
    </xf>
    <xf numFmtId="0" fontId="4" fillId="0" borderId="6" xfId="0" applyFont="1" applyBorder="1" applyAlignment="1">
      <alignment wrapText="1"/>
    </xf>
    <xf numFmtId="0" fontId="5" fillId="0" borderId="7" xfId="0" applyFont="1" applyBorder="1" applyAlignment="1">
      <alignment wrapText="1"/>
    </xf>
    <xf numFmtId="14" fontId="5" fillId="0" borderId="8" xfId="0" applyNumberFormat="1" applyFont="1" applyBorder="1" applyAlignment="1">
      <alignment horizontal="right" wrapText="1"/>
    </xf>
    <xf numFmtId="0" fontId="5" fillId="0" borderId="8" xfId="0" applyFont="1" applyBorder="1" applyAlignment="1">
      <alignment wrapText="1"/>
    </xf>
    <xf numFmtId="0" fontId="5" fillId="0" borderId="9" xfId="0" applyFont="1" applyBorder="1" applyAlignment="1">
      <alignment horizontal="right" wrapText="1"/>
    </xf>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0" borderId="10" xfId="0" applyBorder="1"/>
    <xf numFmtId="0" fontId="1" fillId="0" borderId="11" xfId="0" applyFont="1" applyBorder="1" applyAlignment="1">
      <alignment horizontal="center" vertical="top" wrapText="1"/>
    </xf>
    <xf numFmtId="0" fontId="1" fillId="0" borderId="12" xfId="0" applyFont="1" applyBorder="1" applyAlignment="1">
      <alignment horizontal="center" vertical="top" wrapText="1"/>
    </xf>
    <xf numFmtId="0" fontId="0" fillId="0" borderId="1" xfId="0" applyBorder="1" applyAlignment="1">
      <alignment horizontal="right" wrapText="1"/>
    </xf>
    <xf numFmtId="14" fontId="0" fillId="0" borderId="1" xfId="0" applyNumberFormat="1" applyBorder="1" applyAlignment="1">
      <alignment wrapText="1"/>
    </xf>
    <xf numFmtId="0" fontId="0" fillId="0" borderId="1" xfId="0" applyBorder="1" applyAlignment="1">
      <alignment wrapText="1"/>
    </xf>
    <xf numFmtId="0" fontId="8" fillId="0" borderId="0" xfId="0" applyFont="1"/>
    <xf numFmtId="0" fontId="9" fillId="0" borderId="0" xfId="0" applyFont="1"/>
    <xf numFmtId="0" fontId="9" fillId="0" borderId="0" xfId="0" applyFont="1" applyAlignment="1">
      <alignment wrapText="1"/>
    </xf>
    <xf numFmtId="0" fontId="6" fillId="4" borderId="0" xfId="0" applyFont="1" applyFill="1"/>
    <xf numFmtId="49" fontId="8" fillId="0" borderId="0" xfId="0" applyNumberFormat="1" applyFont="1"/>
    <xf numFmtId="49" fontId="0" fillId="0" borderId="0" xfId="0" applyNumberFormat="1"/>
    <xf numFmtId="49" fontId="9" fillId="0" borderId="0" xfId="0" applyNumberFormat="1" applyFont="1"/>
    <xf numFmtId="49" fontId="7" fillId="5" borderId="0" xfId="0" applyNumberFormat="1" applyFont="1" applyFill="1"/>
    <xf numFmtId="0" fontId="0" fillId="0" borderId="0" xfId="0" applyNumberFormat="1"/>
  </cellXfs>
  <cellStyles count="1">
    <cellStyle name="Normal" xfId="0" builtinId="0"/>
  </cellStyles>
  <dxfs count="29">
    <dxf>
      <fill>
        <patternFill>
          <bgColor rgb="FFFFC000"/>
        </patternFill>
      </fill>
    </dxf>
    <dxf>
      <fill>
        <patternFill>
          <bgColor rgb="FFFF0000"/>
        </patternFill>
      </fill>
    </dxf>
    <dxf>
      <fill>
        <patternFill>
          <bgColor rgb="FFFFC000"/>
        </patternFill>
      </fill>
    </dxf>
    <dxf>
      <fill>
        <patternFill>
          <bgColor rgb="FFFFC000"/>
        </patternFill>
      </fill>
      <border>
        <vertical/>
        <horizontal/>
      </border>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PW.xlsx]Question 7 Dashboard!PivotTable1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7 Dashboard'!$B$3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7 Dashboard'!$A$4:$A$8</c:f>
              <c:strCache>
                <c:ptCount val="4"/>
                <c:pt idx="0">
                  <c:v>Fatal</c:v>
                </c:pt>
                <c:pt idx="1">
                  <c:v>Minor</c:v>
                </c:pt>
                <c:pt idx="2">
                  <c:v>Moderate</c:v>
                </c:pt>
                <c:pt idx="3">
                  <c:v>Severe</c:v>
                </c:pt>
              </c:strCache>
            </c:strRef>
          </c:cat>
          <c:val>
            <c:numRef>
              <c:f>'Question 7 Dashboard'!$B$4:$B$8</c:f>
              <c:numCache>
                <c:formatCode>General</c:formatCode>
                <c:ptCount val="4"/>
                <c:pt idx="0">
                  <c:v>24</c:v>
                </c:pt>
                <c:pt idx="1">
                  <c:v>26</c:v>
                </c:pt>
                <c:pt idx="2">
                  <c:v>22</c:v>
                </c:pt>
                <c:pt idx="3">
                  <c:v>28</c:v>
                </c:pt>
              </c:numCache>
            </c:numRef>
          </c:val>
          <c:extLst>
            <c:ext xmlns:c16="http://schemas.microsoft.com/office/drawing/2014/chart" uri="{C3380CC4-5D6E-409C-BE32-E72D297353CC}">
              <c16:uniqueId val="{00000000-7C7D-4031-93B2-0EE862806345}"/>
            </c:ext>
          </c:extLst>
        </c:ser>
        <c:dLbls>
          <c:showLegendKey val="0"/>
          <c:showVal val="0"/>
          <c:showCatName val="0"/>
          <c:showSerName val="0"/>
          <c:showPercent val="0"/>
          <c:showBubbleSize val="0"/>
        </c:dLbls>
        <c:gapWidth val="100"/>
        <c:overlap val="-24"/>
        <c:axId val="1763153663"/>
        <c:axId val="1763162783"/>
      </c:barChart>
      <c:catAx>
        <c:axId val="17631536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SEVERITY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3162783"/>
        <c:crosses val="autoZero"/>
        <c:auto val="1"/>
        <c:lblAlgn val="ctr"/>
        <c:lblOffset val="100"/>
        <c:noMultiLvlLbl val="0"/>
      </c:catAx>
      <c:valAx>
        <c:axId val="176316278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315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PW.xlsx]Question 7 Dashboard!PivotTable2</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'Question 7 Dashboard'!$L$3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'Question 7 Dashboard'!$K$4:$K$12</c:f>
              <c:strCache>
                <c:ptCount val="8"/>
                <c:pt idx="0">
                  <c:v>Ahmedabad</c:v>
                </c:pt>
                <c:pt idx="1">
                  <c:v>Bangalore</c:v>
                </c:pt>
                <c:pt idx="2">
                  <c:v>Chennai</c:v>
                </c:pt>
                <c:pt idx="3">
                  <c:v>Delhi</c:v>
                </c:pt>
                <c:pt idx="4">
                  <c:v>Hyderabad</c:v>
                </c:pt>
                <c:pt idx="5">
                  <c:v>Kolkata</c:v>
                </c:pt>
                <c:pt idx="6">
                  <c:v>Mumbai</c:v>
                </c:pt>
                <c:pt idx="7">
                  <c:v>Pune</c:v>
                </c:pt>
              </c:strCache>
            </c:strRef>
          </c:cat>
          <c:val>
            <c:numRef>
              <c:f>'Question 7 Dashboard'!$L$4:$L$12</c:f>
              <c:numCache>
                <c:formatCode>General</c:formatCode>
                <c:ptCount val="8"/>
                <c:pt idx="0">
                  <c:v>9</c:v>
                </c:pt>
                <c:pt idx="1">
                  <c:v>14</c:v>
                </c:pt>
                <c:pt idx="2">
                  <c:v>12</c:v>
                </c:pt>
                <c:pt idx="3">
                  <c:v>9</c:v>
                </c:pt>
                <c:pt idx="4">
                  <c:v>17</c:v>
                </c:pt>
                <c:pt idx="5">
                  <c:v>13</c:v>
                </c:pt>
                <c:pt idx="6">
                  <c:v>15</c:v>
                </c:pt>
                <c:pt idx="7">
                  <c:v>11</c:v>
                </c:pt>
              </c:numCache>
            </c:numRef>
          </c:val>
          <c:extLst>
            <c:ext xmlns:c16="http://schemas.microsoft.com/office/drawing/2014/chart" uri="{C3380CC4-5D6E-409C-BE32-E72D297353CC}">
              <c16:uniqueId val="{00000000-508C-42C3-A092-523674F8D77B}"/>
            </c:ext>
          </c:extLst>
        </c:ser>
        <c:dLbls>
          <c:showLegendKey val="0"/>
          <c:showVal val="0"/>
          <c:showCatName val="0"/>
          <c:showSerName val="0"/>
          <c:showPercent val="0"/>
          <c:showBubbleSize val="0"/>
        </c:dLbls>
        <c:gapWidth val="182"/>
        <c:overlap val="-50"/>
        <c:axId val="276312975"/>
        <c:axId val="276316815"/>
      </c:barChart>
      <c:catAx>
        <c:axId val="27631297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LOCATION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6316815"/>
        <c:crosses val="autoZero"/>
        <c:auto val="1"/>
        <c:lblAlgn val="ctr"/>
        <c:lblOffset val="100"/>
        <c:noMultiLvlLbl val="0"/>
      </c:catAx>
      <c:valAx>
        <c:axId val="27631681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631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PW.xlsx]Question 7 Dashboard!PivotTable3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'Question 7 Dashboard'!$B$19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1AF-4C85-85B2-EDE8F268418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1AF-4C85-85B2-EDE8F268418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1AF-4C85-85B2-EDE8F268418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1AF-4C85-85B2-EDE8F268418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1AF-4C85-85B2-EDE8F268418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1AF-4C85-85B2-EDE8F26841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'Question 7 Dashboard'!$A$20:$A$26</c:f>
              <c:strCache>
                <c:ptCount val="6"/>
                <c:pt idx="0">
                  <c:v>Auto-Rickshaw</c:v>
                </c:pt>
                <c:pt idx="1">
                  <c:v>Bicycle</c:v>
                </c:pt>
                <c:pt idx="2">
                  <c:v>Bus</c:v>
                </c:pt>
                <c:pt idx="3">
                  <c:v>Car</c:v>
                </c:pt>
                <c:pt idx="4">
                  <c:v>Motorcycle</c:v>
                </c:pt>
                <c:pt idx="5">
                  <c:v>Truck</c:v>
                </c:pt>
              </c:strCache>
            </c:strRef>
          </c:cat>
          <c:val>
            <c:numRef>
              <c:f>'Question 7 Dashboard'!$B$20:$B$26</c:f>
              <c:numCache>
                <c:formatCode>General</c:formatCode>
                <c:ptCount val="6"/>
                <c:pt idx="0">
                  <c:v>19</c:v>
                </c:pt>
                <c:pt idx="1">
                  <c:v>15</c:v>
                </c:pt>
                <c:pt idx="2">
                  <c:v>11</c:v>
                </c:pt>
                <c:pt idx="3">
                  <c:v>22</c:v>
                </c:pt>
                <c:pt idx="4">
                  <c:v>21</c:v>
                </c:pt>
                <c:pt idx="5">
                  <c:v>12</c:v>
                </c:pt>
              </c:numCache>
            </c:numRef>
          </c:val>
          <c:extLst>
            <c:ext xmlns:c16="http://schemas.microsoft.com/office/drawing/2014/chart" uri="{C3380CC4-5D6E-409C-BE32-E72D297353CC}">
              <c16:uniqueId val="{00000000-2311-4DA5-8426-210F94525D2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4"/>
              <c:pt idx="0">
                <c:v>Clear</c:v>
              </c:pt>
              <c:pt idx="1">
                <c:v>Foggy</c:v>
              </c:pt>
              <c:pt idx="2">
                <c:v>Rainy</c:v>
              </c:pt>
              <c:pt idx="3">
                <c:v>Windy</c:v>
              </c:pt>
            </c:strLit>
          </c:cat>
          <c:val>
            <c:numLit>
              <c:formatCode>General</c:formatCode>
              <c:ptCount val="4"/>
              <c:pt idx="0">
                <c:v>30</c:v>
              </c:pt>
              <c:pt idx="1">
                <c:v>23</c:v>
              </c:pt>
              <c:pt idx="2">
                <c:v>22</c:v>
              </c:pt>
              <c:pt idx="3">
                <c:v>25</c:v>
              </c:pt>
            </c:numLit>
          </c:val>
          <c:extLst>
            <c:ext xmlns:c16="http://schemas.microsoft.com/office/drawing/2014/chart" uri="{C3380CC4-5D6E-409C-BE32-E72D297353CC}">
              <c16:uniqueId val="{00000000-4353-4C5E-8DB0-C501522B9B82}"/>
            </c:ext>
          </c:extLst>
        </c:ser>
        <c:dLbls>
          <c:showLegendKey val="0"/>
          <c:showVal val="0"/>
          <c:showCatName val="0"/>
          <c:showSerName val="0"/>
          <c:showPercent val="0"/>
          <c:showBubbleSize val="0"/>
        </c:dLbls>
        <c:gapWidth val="150"/>
        <c:shape val="box"/>
        <c:axId val="414358895"/>
        <c:axId val="414370415"/>
        <c:axId val="0"/>
      </c:bar3DChart>
      <c:catAx>
        <c:axId val="41435889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wheather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4370415"/>
        <c:crosses val="autoZero"/>
        <c:auto val="1"/>
        <c:lblAlgn val="ctr"/>
        <c:lblOffset val="100"/>
        <c:noMultiLvlLbl val="0"/>
      </c:catAx>
      <c:valAx>
        <c:axId val="414370415"/>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435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PW.xlsx]Question 7 Dashboard!PivotTable5</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7 Dashboard'!$V$3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'Question 7 Dashboard'!$U$4:$U$10</c:f>
              <c:strCache>
                <c:ptCount val="6"/>
                <c:pt idx="0">
                  <c:v>Brake Failure</c:v>
                </c:pt>
                <c:pt idx="1">
                  <c:v>Distracted Driving</c:v>
                </c:pt>
                <c:pt idx="2">
                  <c:v>Drunk Driving</c:v>
                </c:pt>
                <c:pt idx="3">
                  <c:v>Overtaking</c:v>
                </c:pt>
                <c:pt idx="4">
                  <c:v>Speeding</c:v>
                </c:pt>
                <c:pt idx="5">
                  <c:v>Weather</c:v>
                </c:pt>
              </c:strCache>
            </c:strRef>
          </c:cat>
          <c:val>
            <c:numRef>
              <c:f>'Question 7 Dashboard'!$V$4:$V$10</c:f>
              <c:numCache>
                <c:formatCode>General</c:formatCode>
                <c:ptCount val="6"/>
                <c:pt idx="0">
                  <c:v>15</c:v>
                </c:pt>
                <c:pt idx="1">
                  <c:v>14</c:v>
                </c:pt>
                <c:pt idx="2">
                  <c:v>20</c:v>
                </c:pt>
                <c:pt idx="3">
                  <c:v>17</c:v>
                </c:pt>
                <c:pt idx="4">
                  <c:v>20</c:v>
                </c:pt>
                <c:pt idx="5">
                  <c:v>14</c:v>
                </c:pt>
              </c:numCache>
            </c:numRef>
          </c:val>
          <c:extLst>
            <c:ext xmlns:c16="http://schemas.microsoft.com/office/drawing/2014/chart" uri="{C3380CC4-5D6E-409C-BE32-E72D297353CC}">
              <c16:uniqueId val="{00000000-277A-47BC-BA5E-01BC96A03AA9}"/>
            </c:ext>
          </c:extLst>
        </c:ser>
        <c:dLbls>
          <c:showLegendKey val="0"/>
          <c:showVal val="0"/>
          <c:showCatName val="0"/>
          <c:showSerName val="0"/>
          <c:showPercent val="0"/>
          <c:showBubbleSize val="0"/>
        </c:dLbls>
        <c:gapWidth val="100"/>
        <c:overlap val="-24"/>
        <c:axId val="553630895"/>
        <c:axId val="553617935"/>
      </c:barChart>
      <c:catAx>
        <c:axId val="55363089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cAUSE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617935"/>
        <c:crosses val="autoZero"/>
        <c:auto val="1"/>
        <c:lblAlgn val="ctr"/>
        <c:lblOffset val="100"/>
        <c:noMultiLvlLbl val="0"/>
      </c:catAx>
      <c:valAx>
        <c:axId val="55361793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63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76200</xdr:colOff>
      <xdr:row>0</xdr:row>
      <xdr:rowOff>0</xdr:rowOff>
    </xdr:from>
    <xdr:to>
      <xdr:col>9</xdr:col>
      <xdr:colOff>381000</xdr:colOff>
      <xdr:row>15</xdr:row>
      <xdr:rowOff>0</xdr:rowOff>
    </xdr:to>
    <xdr:graphicFrame macro="">
      <xdr:nvGraphicFramePr>
        <xdr:cNvPr id="2" name="Chart 1">
          <a:extLst>
            <a:ext uri="{FF2B5EF4-FFF2-40B4-BE49-F238E27FC236}">
              <a16:creationId xmlns:a16="http://schemas.microsoft.com/office/drawing/2014/main" id="{6A3A7BF0-56E0-59DF-2093-A42214ED0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266700</xdr:colOff>
      <xdr:row>0</xdr:row>
      <xdr:rowOff>22860</xdr:rowOff>
    </xdr:from>
    <xdr:to>
      <xdr:col>19</xdr:col>
      <xdr:colOff>571500</xdr:colOff>
      <xdr:row>15</xdr:row>
      <xdr:rowOff>22860</xdr:rowOff>
    </xdr:to>
    <xdr:graphicFrame macro="">
      <xdr:nvGraphicFramePr>
        <xdr:cNvPr id="3" name="Chart 2">
          <a:extLst>
            <a:ext uri="{FF2B5EF4-FFF2-40B4-BE49-F238E27FC236}">
              <a16:creationId xmlns:a16="http://schemas.microsoft.com/office/drawing/2014/main" id="{BF695743-FC21-C0C8-0B1F-88C915CB1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98961</xdr:colOff>
      <xdr:row>15</xdr:row>
      <xdr:rowOff>73231</xdr:rowOff>
    </xdr:from>
    <xdr:to>
      <xdr:col>9</xdr:col>
      <xdr:colOff>376052</xdr:colOff>
      <xdr:row>30</xdr:row>
      <xdr:rowOff>144483</xdr:rowOff>
    </xdr:to>
    <xdr:graphicFrame macro="">
      <xdr:nvGraphicFramePr>
        <xdr:cNvPr id="4" name="Chart 3">
          <a:extLst>
            <a:ext uri="{FF2B5EF4-FFF2-40B4-BE49-F238E27FC236}">
              <a16:creationId xmlns:a16="http://schemas.microsoft.com/office/drawing/2014/main" id="{41D3001F-D82A-5991-D74A-39C9694DD7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278259</xdr:colOff>
      <xdr:row>15</xdr:row>
      <xdr:rowOff>109591</xdr:rowOff>
    </xdr:from>
    <xdr:to>
      <xdr:col>19</xdr:col>
      <xdr:colOff>595045</xdr:colOff>
      <xdr:row>30</xdr:row>
      <xdr:rowOff>155824</xdr:rowOff>
    </xdr:to>
    <xdr:graphicFrame macro="">
      <xdr:nvGraphicFramePr>
        <xdr:cNvPr id="5" name="Chart 4">
          <a:extLst>
            <a:ext uri="{FF2B5EF4-FFF2-40B4-BE49-F238E27FC236}">
              <a16:creationId xmlns:a16="http://schemas.microsoft.com/office/drawing/2014/main" id="{679A7CD7-7860-6C28-6A9C-A3A6354F9F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139521</xdr:colOff>
      <xdr:row>0</xdr:row>
      <xdr:rowOff>88005</xdr:rowOff>
    </xdr:from>
    <xdr:to>
      <xdr:col>29</xdr:col>
      <xdr:colOff>429296</xdr:colOff>
      <xdr:row>15</xdr:row>
      <xdr:rowOff>94444</xdr:rowOff>
    </xdr:to>
    <xdr:graphicFrame macro="">
      <xdr:nvGraphicFramePr>
        <xdr:cNvPr id="9" name="Chart 8">
          <a:extLst>
            <a:ext uri="{FF2B5EF4-FFF2-40B4-BE49-F238E27FC236}">
              <a16:creationId xmlns:a16="http://schemas.microsoft.com/office/drawing/2014/main" id="{3B95B210-5CAE-BAED-DC6C-56329AA78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51889</xdr:colOff>
      <xdr:row>8</xdr:row>
      <xdr:rowOff>29271</xdr:rowOff>
    </xdr:from>
    <xdr:to>
      <xdr:col>1</xdr:col>
      <xdr:colOff>816308</xdr:colOff>
      <xdr:row>16</xdr:row>
      <xdr:rowOff>48382</xdr:rowOff>
    </xdr:to>
    <mc:AlternateContent xmlns:mc="http://schemas.openxmlformats.org/markup-compatibility/2006" xmlns:a14="http://schemas.microsoft.com/office/drawing/2010/main">
      <mc:Choice Requires="a14">
        <xdr:graphicFrame macro="">
          <xdr:nvGraphicFramePr>
            <xdr:cNvPr id="10" name="Severity">
              <a:extLst>
                <a:ext uri="{FF2B5EF4-FFF2-40B4-BE49-F238E27FC236}">
                  <a16:creationId xmlns:a16="http://schemas.microsoft.com/office/drawing/2014/main" id="{E683FD2B-9E53-1359-DA99-57B9DCEEE312}"/>
                </a:ext>
              </a:extLst>
            </xdr:cNvPr>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mlns="">
        <xdr:sp macro="" textlink="">
          <xdr:nvSpPr>
            <xdr:cNvPr id="0" name=""/>
            <xdr:cNvSpPr>
              <a:spLocks noTextEdit="1"/>
            </xdr:cNvSpPr>
          </xdr:nvSpPr>
          <xdr:spPr>
            <a:xfrm>
              <a:off x="51889" y="1436040"/>
              <a:ext cx="1819496" cy="14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13</xdr:row>
      <xdr:rowOff>1</xdr:rowOff>
    </xdr:from>
    <xdr:to>
      <xdr:col>11</xdr:col>
      <xdr:colOff>824895</xdr:colOff>
      <xdr:row>20</xdr:row>
      <xdr:rowOff>0</xdr:rowOff>
    </xdr:to>
    <mc:AlternateContent xmlns:mc="http://schemas.openxmlformats.org/markup-compatibility/2006" xmlns:a14="http://schemas.microsoft.com/office/drawing/2010/main">
      <mc:Choice Requires="a14">
        <xdr:graphicFrame macro="">
          <xdr:nvGraphicFramePr>
            <xdr:cNvPr id="12" name="Location">
              <a:extLst>
                <a:ext uri="{FF2B5EF4-FFF2-40B4-BE49-F238E27FC236}">
                  <a16:creationId xmlns:a16="http://schemas.microsoft.com/office/drawing/2014/main" id="{4F8D87A9-50F7-4C7C-80BB-AB23D5625884}"/>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7282962" y="2286001"/>
              <a:ext cx="1821356" cy="1230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475222</xdr:colOff>
      <xdr:row>10</xdr:row>
      <xdr:rowOff>89748</xdr:rowOff>
    </xdr:from>
    <xdr:to>
      <xdr:col>21</xdr:col>
      <xdr:colOff>1021927</xdr:colOff>
      <xdr:row>20</xdr:row>
      <xdr:rowOff>48383</xdr:rowOff>
    </xdr:to>
    <mc:AlternateContent xmlns:mc="http://schemas.openxmlformats.org/markup-compatibility/2006" xmlns:a14="http://schemas.microsoft.com/office/drawing/2010/main">
      <mc:Choice Requires="a14">
        <xdr:graphicFrame macro="">
          <xdr:nvGraphicFramePr>
            <xdr:cNvPr id="13" name="Cause">
              <a:extLst>
                <a:ext uri="{FF2B5EF4-FFF2-40B4-BE49-F238E27FC236}">
                  <a16:creationId xmlns:a16="http://schemas.microsoft.com/office/drawing/2014/main" id="{E2609AB5-1AAE-02C6-3697-9977579AE762}"/>
                </a:ext>
              </a:extLst>
            </xdr:cNvPr>
            <xdr:cNvGraphicFramePr/>
          </xdr:nvGraphicFramePr>
          <xdr:xfrm>
            <a:off x="0" y="0"/>
            <a:ext cx="0" cy="0"/>
          </xdr:xfrm>
          <a:graphic>
            <a:graphicData uri="http://schemas.microsoft.com/office/drawing/2010/slicer">
              <sle:slicer xmlns:sle="http://schemas.microsoft.com/office/drawing/2010/slicer" name="Cause"/>
            </a:graphicData>
          </a:graphic>
        </xdr:graphicFrame>
      </mc:Choice>
      <mc:Fallback xmlns="">
        <xdr:sp macro="" textlink="">
          <xdr:nvSpPr>
            <xdr:cNvPr id="0" name=""/>
            <xdr:cNvSpPr>
              <a:spLocks noTextEdit="1"/>
            </xdr:cNvSpPr>
          </xdr:nvSpPr>
          <xdr:spPr>
            <a:xfrm>
              <a:off x="14982530" y="1848210"/>
              <a:ext cx="1821589" cy="17170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77651</xdr:rowOff>
    </xdr:from>
    <xdr:to>
      <xdr:col>1</xdr:col>
      <xdr:colOff>764419</xdr:colOff>
      <xdr:row>37</xdr:row>
      <xdr:rowOff>60476</xdr:rowOff>
    </xdr:to>
    <mc:AlternateContent xmlns:mc="http://schemas.openxmlformats.org/markup-compatibility/2006" xmlns:a14="http://schemas.microsoft.com/office/drawing/2010/main">
      <mc:Choice Requires="a14">
        <xdr:graphicFrame macro="">
          <xdr:nvGraphicFramePr>
            <xdr:cNvPr id="14" name="Vehicle Type">
              <a:extLst>
                <a:ext uri="{FF2B5EF4-FFF2-40B4-BE49-F238E27FC236}">
                  <a16:creationId xmlns:a16="http://schemas.microsoft.com/office/drawing/2014/main" id="{B3160AC2-EED6-1E06-9DB6-95A009845B0A}"/>
                </a:ext>
              </a:extLst>
            </xdr:cNvPr>
            <xdr:cNvGraphicFramePr/>
          </xdr:nvGraphicFramePr>
          <xdr:xfrm>
            <a:off x="0" y="0"/>
            <a:ext cx="0" cy="0"/>
          </xdr:xfrm>
          <a:graphic>
            <a:graphicData uri="http://schemas.microsoft.com/office/drawing/2010/slicer">
              <sle:slicer xmlns:sle="http://schemas.microsoft.com/office/drawing/2010/slicer" name="Vehicle Type"/>
            </a:graphicData>
          </a:graphic>
        </xdr:graphicFrame>
      </mc:Choice>
      <mc:Fallback xmlns="">
        <xdr:sp macro="" textlink="">
          <xdr:nvSpPr>
            <xdr:cNvPr id="0" name=""/>
            <xdr:cNvSpPr>
              <a:spLocks noTextEdit="1"/>
            </xdr:cNvSpPr>
          </xdr:nvSpPr>
          <xdr:spPr>
            <a:xfrm>
              <a:off x="0" y="4649651"/>
              <a:ext cx="1819496" cy="1917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233317</xdr:colOff>
      <xdr:row>28</xdr:row>
      <xdr:rowOff>17175</xdr:rowOff>
    </xdr:from>
    <xdr:to>
      <xdr:col>11</xdr:col>
      <xdr:colOff>1058212</xdr:colOff>
      <xdr:row>35</xdr:row>
      <xdr:rowOff>157238</xdr:rowOff>
    </xdr:to>
    <mc:AlternateContent xmlns:mc="http://schemas.openxmlformats.org/markup-compatibility/2006" xmlns:a14="http://schemas.microsoft.com/office/drawing/2010/main">
      <mc:Choice Requires="a14">
        <xdr:graphicFrame macro="">
          <xdr:nvGraphicFramePr>
            <xdr:cNvPr id="15" name="Weather Condition">
              <a:extLst>
                <a:ext uri="{FF2B5EF4-FFF2-40B4-BE49-F238E27FC236}">
                  <a16:creationId xmlns:a16="http://schemas.microsoft.com/office/drawing/2014/main" id="{BC2C4BFD-878D-6260-E8E5-47A22696B308}"/>
                </a:ext>
              </a:extLst>
            </xdr:cNvPr>
            <xdr:cNvGraphicFramePr/>
          </xdr:nvGraphicFramePr>
          <xdr:xfrm>
            <a:off x="0" y="0"/>
            <a:ext cx="0" cy="0"/>
          </xdr:xfrm>
          <a:graphic>
            <a:graphicData uri="http://schemas.microsoft.com/office/drawing/2010/slicer">
              <sle:slicer xmlns:sle="http://schemas.microsoft.com/office/drawing/2010/slicer" name="Weather Condition"/>
            </a:graphicData>
          </a:graphic>
        </xdr:graphicFrame>
      </mc:Choice>
      <mc:Fallback xmlns="">
        <xdr:sp macro="" textlink="">
          <xdr:nvSpPr>
            <xdr:cNvPr id="0" name=""/>
            <xdr:cNvSpPr>
              <a:spLocks noTextEdit="1"/>
            </xdr:cNvSpPr>
          </xdr:nvSpPr>
          <xdr:spPr>
            <a:xfrm>
              <a:off x="7516279" y="4940867"/>
              <a:ext cx="1821356" cy="1370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yan chaudhari" refreshedDate="46028.447499421294" createdVersion="8" refreshedVersion="8" minRefreshableVersion="3" recordCount="100" xr:uid="{098C13B7-6C2F-4D1A-92A5-E786098A46A9}">
  <cacheSource type="worksheet">
    <worksheetSource name="Table1"/>
  </cacheSource>
  <cacheFields count="10">
    <cacheField name="Accident ID" numFmtId="0">
      <sharedItems count="100">
        <s v="AID0001"/>
        <s v="AID0002"/>
        <s v="AID0003"/>
        <s v="AID0004"/>
        <s v="AID0005"/>
        <s v="AID0006"/>
        <s v="AID0007"/>
        <s v="AID0008"/>
        <s v="AID0009"/>
        <s v="AID0010"/>
        <s v="AID0011"/>
        <s v="AID0012"/>
        <s v="AID0013"/>
        <s v="AID0014"/>
        <s v="AID0015"/>
        <s v="AID0016"/>
        <s v="AID0017"/>
        <s v="AID0018"/>
        <s v="AID0019"/>
        <s v="AID0020"/>
        <s v="AID0021"/>
        <s v="AID0022"/>
        <s v="AID0023"/>
        <s v="AID0024"/>
        <s v="AID0025"/>
        <s v="AID0026"/>
        <s v="AID0027"/>
        <s v="AID0028"/>
        <s v="AID0029"/>
        <s v="AID0030"/>
        <s v="AID0031"/>
        <s v="AID0032"/>
        <s v="AID0033"/>
        <s v="AID0034"/>
        <s v="AID0035"/>
        <s v="AID0036"/>
        <s v="AID0037"/>
        <s v="AID0038"/>
        <s v="AID0039"/>
        <s v="AID0040"/>
        <s v="AID0041"/>
        <s v="AID0042"/>
        <s v="AID0043"/>
        <s v="AID0044"/>
        <s v="AID0045"/>
        <s v="AID0046"/>
        <s v="AID0047"/>
        <s v="AID0048"/>
        <s v="AID0049"/>
        <s v="AID0050"/>
        <s v="AID0051"/>
        <s v="AID0052"/>
        <s v="AID0053"/>
        <s v="AID0054"/>
        <s v="AID0055"/>
        <s v="AID0056"/>
        <s v="AID0057"/>
        <s v="AID0058"/>
        <s v="AID0059"/>
        <s v="AID0060"/>
        <s v="AID0061"/>
        <s v="AID0062"/>
        <s v="AID0063"/>
        <s v="AID0064"/>
        <s v="AID0065"/>
        <s v="AID0066"/>
        <s v="AID0067"/>
        <s v="AID0068"/>
        <s v="AID0069"/>
        <s v="AID0070"/>
        <s v="AID0071"/>
        <s v="AID0072"/>
        <s v="AID0073"/>
        <s v="AID0074"/>
        <s v="AID0075"/>
        <s v="AID0076"/>
        <s v="AID0077"/>
        <s v="AID0078"/>
        <s v="AID0079"/>
        <s v="AID0080"/>
        <s v="AID0081"/>
        <s v="AID0082"/>
        <s v="AID0083"/>
        <s v="AID0084"/>
        <s v="AID0085"/>
        <s v="AID0086"/>
        <s v="AID0087"/>
        <s v="AID0088"/>
        <s v="AID0089"/>
        <s v="AID0090"/>
        <s v="AID0091"/>
        <s v="AID0092"/>
        <s v="AID0093"/>
        <s v="AID0094"/>
        <s v="AID0095"/>
        <s v="AID0096"/>
        <s v="AID0097"/>
        <s v="AID0098"/>
        <s v="AID0099"/>
        <s v="AID0100"/>
      </sharedItems>
    </cacheField>
    <cacheField name="Date" numFmtId="14">
      <sharedItems containsSemiMixedTypes="0" containsNonDate="0" containsDate="1" containsString="0" minDate="2024-01-01T00:00:00" maxDate="2024-06-27T00:00:00"/>
    </cacheField>
    <cacheField name="Location" numFmtId="0">
      <sharedItems count="8">
        <s v="Hyderabad"/>
        <s v="Mumbai"/>
        <s v="Pune"/>
        <s v="Bangalore"/>
        <s v="Delhi"/>
        <s v="Ahmedabad"/>
        <s v="Chennai"/>
        <s v="Kolkata"/>
      </sharedItems>
    </cacheField>
    <cacheField name="Accident Type" numFmtId="0">
      <sharedItems/>
    </cacheField>
    <cacheField name="Vehicle Type" numFmtId="0">
      <sharedItems count="6">
        <s v="Auto-Rickshaw"/>
        <s v="Bicycle"/>
        <s v="Truck"/>
        <s v="Car"/>
        <s v="Motorcycle"/>
        <s v="Bus"/>
      </sharedItems>
    </cacheField>
    <cacheField name="Weather Condition" numFmtId="0">
      <sharedItems count="4">
        <s v="Clear"/>
        <s v="Foggy"/>
        <s v="Windy"/>
        <s v="Rainy"/>
      </sharedItems>
    </cacheField>
    <cacheField name="Road Condition" numFmtId="0">
      <sharedItems/>
    </cacheField>
    <cacheField name="Severity" numFmtId="0">
      <sharedItems count="4">
        <s v="Moderate"/>
        <s v="Fatal"/>
        <s v="Minor"/>
        <s v="Severe"/>
      </sharedItems>
    </cacheField>
    <cacheField name="Cause" numFmtId="0">
      <sharedItems count="6">
        <s v="Overtaking"/>
        <s v="Distracted Driving"/>
        <s v="Brake Failure"/>
        <s v="Weather"/>
        <s v="Drunk Driving"/>
        <s v="Speeding"/>
      </sharedItems>
    </cacheField>
    <cacheField name="Casualties" numFmtId="0">
      <sharedItems containsSemiMixedTypes="0" containsString="0" containsNumber="1" containsInteger="1" minValue="0" maxValue="5"/>
    </cacheField>
  </cacheFields>
  <extLst>
    <ext xmlns:x14="http://schemas.microsoft.com/office/spreadsheetml/2009/9/main" uri="{725AE2AE-9491-48be-B2B4-4EB974FC3084}">
      <x14:pivotCacheDefinition pivotCacheId="1149512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yan chaudhari" refreshedDate="46030.444525462961" createdVersion="8" refreshedVersion="8" minRefreshableVersion="3" recordCount="100" xr:uid="{E7E6CECA-B8BE-4716-A051-96125B78B3BD}">
  <cacheSource type="worksheet">
    <worksheetSource ref="A1:Q101" sheet="Question 10 Answers"/>
  </cacheSource>
  <cacheFields count="17">
    <cacheField name="Customer ID" numFmtId="0">
      <sharedItems/>
    </cacheField>
    <cacheField name="Region" numFmtId="0">
      <sharedItems count="4">
        <s v="West"/>
        <s v="South"/>
        <s v="East"/>
        <s v="North"/>
      </sharedItems>
    </cacheField>
    <cacheField name="Country" numFmtId="0">
      <sharedItems/>
    </cacheField>
    <cacheField name="State" numFmtId="0">
      <sharedItems/>
    </cacheField>
    <cacheField name="Phone Number" numFmtId="49">
      <sharedItems containsSemiMixedTypes="0" containsString="0" containsNumber="1" containsInteger="1" minValue="85" maxValue="99831923457"/>
    </cacheField>
    <cacheField name="Category" numFmtId="0">
      <sharedItems count="3">
        <s v="Clothing"/>
        <s v="Furniture"/>
        <s v="Electronics"/>
      </sharedItems>
    </cacheField>
    <cacheField name="Product" numFmtId="0">
      <sharedItems count="15">
        <s v="Shirt"/>
        <s v="Table"/>
        <s v="T-shirt"/>
        <s v="Sofa"/>
        <s v="Jeans"/>
        <s v="Dress"/>
        <s v="Chair"/>
        <s v="Tablet"/>
        <s v="Bookshelf"/>
        <s v="Monitor"/>
        <s v="Jacket"/>
        <s v="Headphones"/>
        <s v="Laptop"/>
        <s v="Smartphone"/>
        <s v="Cupboard"/>
      </sharedItems>
    </cacheField>
    <cacheField name="Price" numFmtId="0">
      <sharedItems containsSemiMixedTypes="0" containsString="0" containsNumber="1" minValue="238.37" maxValue="2896.96"/>
    </cacheField>
    <cacheField name="Units Sold" numFmtId="0">
      <sharedItems containsSemiMixedTypes="0" containsString="0" containsNumber="1" containsInteger="1" minValue="1" maxValue="15"/>
    </cacheField>
    <cacheField name="Profit" numFmtId="0">
      <sharedItems containsSemiMixedTypes="0" containsString="0" containsNumber="1" minValue="163.57" maxValue="11123.31"/>
    </cacheField>
    <cacheField name="Mode of Payment" numFmtId="0">
      <sharedItems/>
    </cacheField>
    <cacheField name="Revenue" numFmtId="0">
      <sharedItems containsSemiMixedTypes="0" containsString="0" containsNumber="1" minValue="1248.54" maxValue="42729.15"/>
    </cacheField>
    <cacheField name="Revenue Label" numFmtId="0">
      <sharedItems/>
    </cacheField>
    <cacheField name="Profit %" numFmtId="0">
      <sharedItems containsSemiMixedTypes="0" containsString="0" containsNumber="1" minValue="10.26" maxValue="29.98"/>
    </cacheField>
    <cacheField name="Total amount" numFmtId="0">
      <sharedItems containsSemiMixedTypes="0" containsString="0" containsNumber="1" minValue="1248.54" maxValue="42729.15"/>
    </cacheField>
    <cacheField name="Ranks" numFmtId="0">
      <sharedItems/>
    </cacheField>
    <cacheField name="Profit %2" numFmtId="0">
      <sharedItems containsSemiMixedTypes="0" containsString="0" containsNumber="1" minValue="10.26" maxValue="29.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d v="2024-01-01T00:00:00"/>
    <x v="0"/>
    <s v="Overturn"/>
    <x v="0"/>
    <x v="0"/>
    <s v="Dry"/>
    <x v="0"/>
    <x v="0"/>
    <n v="0"/>
  </r>
  <r>
    <x v="1"/>
    <d v="2024-03-29T00:00:00"/>
    <x v="1"/>
    <s v="Overturn"/>
    <x v="0"/>
    <x v="1"/>
    <s v="Damaged"/>
    <x v="0"/>
    <x v="1"/>
    <n v="0"/>
  </r>
  <r>
    <x v="2"/>
    <d v="2024-01-05T00:00:00"/>
    <x v="1"/>
    <s v="Overturn"/>
    <x v="1"/>
    <x v="2"/>
    <s v="Under Construction"/>
    <x v="1"/>
    <x v="0"/>
    <n v="3"/>
  </r>
  <r>
    <x v="3"/>
    <d v="2024-06-02T00:00:00"/>
    <x v="2"/>
    <s v="Collision"/>
    <x v="2"/>
    <x v="0"/>
    <s v="Dry"/>
    <x v="1"/>
    <x v="2"/>
    <n v="4"/>
  </r>
  <r>
    <x v="4"/>
    <d v="2024-02-28T00:00:00"/>
    <x v="3"/>
    <s v="Animal Hit"/>
    <x v="0"/>
    <x v="0"/>
    <s v="Damaged"/>
    <x v="0"/>
    <x v="3"/>
    <n v="0"/>
  </r>
  <r>
    <x v="5"/>
    <d v="2024-04-17T00:00:00"/>
    <x v="3"/>
    <s v="Animal Hit"/>
    <x v="3"/>
    <x v="3"/>
    <s v="Damaged"/>
    <x v="2"/>
    <x v="4"/>
    <n v="4"/>
  </r>
  <r>
    <x v="6"/>
    <d v="2024-02-16T00:00:00"/>
    <x v="4"/>
    <s v="Animal Hit"/>
    <x v="3"/>
    <x v="3"/>
    <s v="Dry"/>
    <x v="2"/>
    <x v="5"/>
    <n v="2"/>
  </r>
  <r>
    <x v="7"/>
    <d v="2024-03-18T00:00:00"/>
    <x v="0"/>
    <s v="Overturn"/>
    <x v="3"/>
    <x v="1"/>
    <s v="Wet"/>
    <x v="0"/>
    <x v="5"/>
    <n v="5"/>
  </r>
  <r>
    <x v="8"/>
    <d v="2024-05-13T00:00:00"/>
    <x v="1"/>
    <s v="Collision"/>
    <x v="3"/>
    <x v="2"/>
    <s v="Under Construction"/>
    <x v="2"/>
    <x v="3"/>
    <n v="2"/>
  </r>
  <r>
    <x v="9"/>
    <d v="2024-01-16T00:00:00"/>
    <x v="5"/>
    <s v="Collision"/>
    <x v="4"/>
    <x v="0"/>
    <s v="Under Construction"/>
    <x v="3"/>
    <x v="5"/>
    <n v="5"/>
  </r>
  <r>
    <x v="10"/>
    <d v="2024-01-08T00:00:00"/>
    <x v="2"/>
    <s v="Object Hit"/>
    <x v="0"/>
    <x v="0"/>
    <s v="Damaged"/>
    <x v="1"/>
    <x v="0"/>
    <n v="0"/>
  </r>
  <r>
    <x v="11"/>
    <d v="2024-06-25T00:00:00"/>
    <x v="5"/>
    <s v="Pedestrian Hit"/>
    <x v="3"/>
    <x v="0"/>
    <s v="Under Construction"/>
    <x v="3"/>
    <x v="0"/>
    <n v="3"/>
  </r>
  <r>
    <x v="12"/>
    <d v="2024-03-29T00:00:00"/>
    <x v="3"/>
    <s v="Pedestrian Hit"/>
    <x v="1"/>
    <x v="3"/>
    <s v="Wet"/>
    <x v="3"/>
    <x v="5"/>
    <n v="1"/>
  </r>
  <r>
    <x v="13"/>
    <d v="2024-04-02T00:00:00"/>
    <x v="6"/>
    <s v="Overturn"/>
    <x v="5"/>
    <x v="1"/>
    <s v="Dry"/>
    <x v="3"/>
    <x v="4"/>
    <n v="2"/>
  </r>
  <r>
    <x v="14"/>
    <d v="2024-03-27T00:00:00"/>
    <x v="6"/>
    <s v="Pedestrian Hit"/>
    <x v="4"/>
    <x v="1"/>
    <s v="Under Construction"/>
    <x v="0"/>
    <x v="2"/>
    <n v="1"/>
  </r>
  <r>
    <x v="15"/>
    <d v="2024-05-19T00:00:00"/>
    <x v="6"/>
    <s v="Overturn"/>
    <x v="2"/>
    <x v="1"/>
    <s v="Damaged"/>
    <x v="3"/>
    <x v="1"/>
    <n v="5"/>
  </r>
  <r>
    <x v="16"/>
    <d v="2024-03-03T00:00:00"/>
    <x v="0"/>
    <s v="Collision"/>
    <x v="4"/>
    <x v="2"/>
    <s v="Under Construction"/>
    <x v="0"/>
    <x v="1"/>
    <n v="4"/>
  </r>
  <r>
    <x v="17"/>
    <d v="2024-03-08T00:00:00"/>
    <x v="7"/>
    <s v="Overturn"/>
    <x v="3"/>
    <x v="2"/>
    <s v="Under Construction"/>
    <x v="0"/>
    <x v="2"/>
    <n v="3"/>
  </r>
  <r>
    <x v="18"/>
    <d v="2024-06-26T00:00:00"/>
    <x v="4"/>
    <s v="Overturn"/>
    <x v="4"/>
    <x v="3"/>
    <s v="Wet"/>
    <x v="3"/>
    <x v="4"/>
    <n v="4"/>
  </r>
  <r>
    <x v="19"/>
    <d v="2024-01-26T00:00:00"/>
    <x v="4"/>
    <s v="Collision"/>
    <x v="1"/>
    <x v="3"/>
    <s v="Damaged"/>
    <x v="0"/>
    <x v="2"/>
    <n v="5"/>
  </r>
  <r>
    <x v="20"/>
    <d v="2024-02-05T00:00:00"/>
    <x v="2"/>
    <s v="Animal Hit"/>
    <x v="4"/>
    <x v="2"/>
    <s v="Damaged"/>
    <x v="2"/>
    <x v="1"/>
    <n v="5"/>
  </r>
  <r>
    <x v="21"/>
    <d v="2024-06-07T00:00:00"/>
    <x v="0"/>
    <s v="Object Hit"/>
    <x v="2"/>
    <x v="1"/>
    <s v="Under Construction"/>
    <x v="1"/>
    <x v="3"/>
    <n v="4"/>
  </r>
  <r>
    <x v="22"/>
    <d v="2024-03-27T00:00:00"/>
    <x v="6"/>
    <s v="Collision"/>
    <x v="1"/>
    <x v="3"/>
    <s v="Under Construction"/>
    <x v="3"/>
    <x v="3"/>
    <n v="4"/>
  </r>
  <r>
    <x v="23"/>
    <d v="2024-02-24T00:00:00"/>
    <x v="1"/>
    <s v="Object Hit"/>
    <x v="2"/>
    <x v="3"/>
    <s v="Dry"/>
    <x v="0"/>
    <x v="0"/>
    <n v="0"/>
  </r>
  <r>
    <x v="24"/>
    <d v="2024-06-04T00:00:00"/>
    <x v="4"/>
    <s v="Animal Hit"/>
    <x v="4"/>
    <x v="3"/>
    <s v="Damaged"/>
    <x v="1"/>
    <x v="4"/>
    <n v="1"/>
  </r>
  <r>
    <x v="25"/>
    <d v="2024-05-30T00:00:00"/>
    <x v="2"/>
    <s v="Collision"/>
    <x v="5"/>
    <x v="0"/>
    <s v="Damaged"/>
    <x v="0"/>
    <x v="3"/>
    <n v="0"/>
  </r>
  <r>
    <x v="26"/>
    <d v="2024-04-04T00:00:00"/>
    <x v="0"/>
    <s v="Pedestrian Hit"/>
    <x v="3"/>
    <x v="2"/>
    <s v="Wet"/>
    <x v="1"/>
    <x v="0"/>
    <n v="0"/>
  </r>
  <r>
    <x v="27"/>
    <d v="2024-05-10T00:00:00"/>
    <x v="0"/>
    <s v="Overturn"/>
    <x v="1"/>
    <x v="1"/>
    <s v="Dry"/>
    <x v="3"/>
    <x v="2"/>
    <n v="4"/>
  </r>
  <r>
    <x v="28"/>
    <d v="2024-03-02T00:00:00"/>
    <x v="6"/>
    <s v="Animal Hit"/>
    <x v="0"/>
    <x v="3"/>
    <s v="Damaged"/>
    <x v="3"/>
    <x v="3"/>
    <n v="4"/>
  </r>
  <r>
    <x v="29"/>
    <d v="2024-04-16T00:00:00"/>
    <x v="2"/>
    <s v="Pedestrian Hit"/>
    <x v="3"/>
    <x v="1"/>
    <s v="Under Construction"/>
    <x v="3"/>
    <x v="1"/>
    <n v="0"/>
  </r>
  <r>
    <x v="30"/>
    <d v="2024-06-09T00:00:00"/>
    <x v="7"/>
    <s v="Object Hit"/>
    <x v="4"/>
    <x v="3"/>
    <s v="Wet"/>
    <x v="3"/>
    <x v="0"/>
    <n v="5"/>
  </r>
  <r>
    <x v="31"/>
    <d v="2024-02-25T00:00:00"/>
    <x v="6"/>
    <s v="Pedestrian Hit"/>
    <x v="0"/>
    <x v="3"/>
    <s v="Damaged"/>
    <x v="1"/>
    <x v="4"/>
    <n v="2"/>
  </r>
  <r>
    <x v="32"/>
    <d v="2024-06-24T00:00:00"/>
    <x v="2"/>
    <s v="Object Hit"/>
    <x v="0"/>
    <x v="2"/>
    <s v="Damaged"/>
    <x v="1"/>
    <x v="1"/>
    <n v="1"/>
  </r>
  <r>
    <x v="33"/>
    <d v="2024-04-21T00:00:00"/>
    <x v="7"/>
    <s v="Animal Hit"/>
    <x v="1"/>
    <x v="0"/>
    <s v="Under Construction"/>
    <x v="2"/>
    <x v="4"/>
    <n v="1"/>
  </r>
  <r>
    <x v="34"/>
    <d v="2024-01-02T00:00:00"/>
    <x v="1"/>
    <s v="Overturn"/>
    <x v="2"/>
    <x v="0"/>
    <s v="Wet"/>
    <x v="3"/>
    <x v="5"/>
    <n v="3"/>
  </r>
  <r>
    <x v="35"/>
    <d v="2024-05-24T00:00:00"/>
    <x v="7"/>
    <s v="Animal Hit"/>
    <x v="0"/>
    <x v="0"/>
    <s v="Wet"/>
    <x v="0"/>
    <x v="1"/>
    <n v="4"/>
  </r>
  <r>
    <x v="36"/>
    <d v="2024-01-26T00:00:00"/>
    <x v="5"/>
    <s v="Object Hit"/>
    <x v="4"/>
    <x v="0"/>
    <s v="Under Construction"/>
    <x v="2"/>
    <x v="0"/>
    <n v="5"/>
  </r>
  <r>
    <x v="37"/>
    <d v="2024-01-23T00:00:00"/>
    <x v="3"/>
    <s v="Overturn"/>
    <x v="0"/>
    <x v="2"/>
    <s v="Under Construction"/>
    <x v="3"/>
    <x v="5"/>
    <n v="0"/>
  </r>
  <r>
    <x v="38"/>
    <d v="2024-04-26T00:00:00"/>
    <x v="2"/>
    <s v="Animal Hit"/>
    <x v="3"/>
    <x v="1"/>
    <s v="Under Construction"/>
    <x v="1"/>
    <x v="5"/>
    <n v="2"/>
  </r>
  <r>
    <x v="39"/>
    <d v="2024-03-14T00:00:00"/>
    <x v="0"/>
    <s v="Overturn"/>
    <x v="0"/>
    <x v="3"/>
    <s v="Damaged"/>
    <x v="1"/>
    <x v="3"/>
    <n v="1"/>
  </r>
  <r>
    <x v="40"/>
    <d v="2024-01-10T00:00:00"/>
    <x v="0"/>
    <s v="Animal Hit"/>
    <x v="0"/>
    <x v="0"/>
    <s v="Wet"/>
    <x v="2"/>
    <x v="2"/>
    <n v="4"/>
  </r>
  <r>
    <x v="41"/>
    <d v="2024-04-28T00:00:00"/>
    <x v="1"/>
    <s v="Collision"/>
    <x v="3"/>
    <x v="1"/>
    <s v="Under Construction"/>
    <x v="2"/>
    <x v="5"/>
    <n v="2"/>
  </r>
  <r>
    <x v="42"/>
    <d v="2024-01-23T00:00:00"/>
    <x v="3"/>
    <s v="Overturn"/>
    <x v="1"/>
    <x v="2"/>
    <s v="Under Construction"/>
    <x v="2"/>
    <x v="2"/>
    <n v="2"/>
  </r>
  <r>
    <x v="43"/>
    <d v="2024-03-19T00:00:00"/>
    <x v="0"/>
    <s v="Animal Hit"/>
    <x v="3"/>
    <x v="2"/>
    <s v="Wet"/>
    <x v="1"/>
    <x v="3"/>
    <n v="4"/>
  </r>
  <r>
    <x v="44"/>
    <d v="2024-03-20T00:00:00"/>
    <x v="0"/>
    <s v="Overturn"/>
    <x v="5"/>
    <x v="0"/>
    <s v="Wet"/>
    <x v="3"/>
    <x v="2"/>
    <n v="3"/>
  </r>
  <r>
    <x v="45"/>
    <d v="2024-05-05T00:00:00"/>
    <x v="1"/>
    <s v="Animal Hit"/>
    <x v="4"/>
    <x v="3"/>
    <s v="Dry"/>
    <x v="2"/>
    <x v="5"/>
    <n v="0"/>
  </r>
  <r>
    <x v="46"/>
    <d v="2024-04-20T00:00:00"/>
    <x v="0"/>
    <s v="Overturn"/>
    <x v="3"/>
    <x v="1"/>
    <s v="Dry"/>
    <x v="3"/>
    <x v="0"/>
    <n v="1"/>
  </r>
  <r>
    <x v="47"/>
    <d v="2024-06-23T00:00:00"/>
    <x v="6"/>
    <s v="Animal Hit"/>
    <x v="4"/>
    <x v="3"/>
    <s v="Wet"/>
    <x v="1"/>
    <x v="4"/>
    <n v="0"/>
  </r>
  <r>
    <x v="48"/>
    <d v="2024-03-18T00:00:00"/>
    <x v="7"/>
    <s v="Collision"/>
    <x v="4"/>
    <x v="0"/>
    <s v="Dry"/>
    <x v="0"/>
    <x v="3"/>
    <n v="5"/>
  </r>
  <r>
    <x v="49"/>
    <d v="2024-05-24T00:00:00"/>
    <x v="3"/>
    <s v="Pedestrian Hit"/>
    <x v="2"/>
    <x v="1"/>
    <s v="Damaged"/>
    <x v="2"/>
    <x v="5"/>
    <n v="2"/>
  </r>
  <r>
    <x v="50"/>
    <d v="2024-04-01T00:00:00"/>
    <x v="5"/>
    <s v="Collision"/>
    <x v="1"/>
    <x v="2"/>
    <s v="Dry"/>
    <x v="0"/>
    <x v="4"/>
    <n v="0"/>
  </r>
  <r>
    <x v="51"/>
    <d v="2024-02-25T00:00:00"/>
    <x v="4"/>
    <s v="Animal Hit"/>
    <x v="2"/>
    <x v="1"/>
    <s v="Damaged"/>
    <x v="3"/>
    <x v="3"/>
    <n v="2"/>
  </r>
  <r>
    <x v="52"/>
    <d v="2024-01-20T00:00:00"/>
    <x v="7"/>
    <s v="Pedestrian Hit"/>
    <x v="3"/>
    <x v="2"/>
    <s v="Under Construction"/>
    <x v="0"/>
    <x v="4"/>
    <n v="3"/>
  </r>
  <r>
    <x v="53"/>
    <d v="2024-02-23T00:00:00"/>
    <x v="0"/>
    <s v="Animal Hit"/>
    <x v="2"/>
    <x v="2"/>
    <s v="Dry"/>
    <x v="3"/>
    <x v="4"/>
    <n v="5"/>
  </r>
  <r>
    <x v="54"/>
    <d v="2024-05-21T00:00:00"/>
    <x v="0"/>
    <s v="Overturn"/>
    <x v="0"/>
    <x v="0"/>
    <s v="Damaged"/>
    <x v="0"/>
    <x v="2"/>
    <n v="4"/>
  </r>
  <r>
    <x v="55"/>
    <d v="2024-03-23T00:00:00"/>
    <x v="3"/>
    <s v="Overturn"/>
    <x v="5"/>
    <x v="1"/>
    <s v="Under Construction"/>
    <x v="0"/>
    <x v="4"/>
    <n v="3"/>
  </r>
  <r>
    <x v="56"/>
    <d v="2024-05-21T00:00:00"/>
    <x v="3"/>
    <s v="Overturn"/>
    <x v="5"/>
    <x v="2"/>
    <s v="Under Construction"/>
    <x v="2"/>
    <x v="5"/>
    <n v="5"/>
  </r>
  <r>
    <x v="57"/>
    <d v="2024-03-16T00:00:00"/>
    <x v="0"/>
    <s v="Collision"/>
    <x v="0"/>
    <x v="1"/>
    <s v="Wet"/>
    <x v="2"/>
    <x v="2"/>
    <n v="2"/>
  </r>
  <r>
    <x v="58"/>
    <d v="2024-01-26T00:00:00"/>
    <x v="1"/>
    <s v="Collision"/>
    <x v="3"/>
    <x v="1"/>
    <s v="Under Construction"/>
    <x v="1"/>
    <x v="5"/>
    <n v="4"/>
  </r>
  <r>
    <x v="59"/>
    <d v="2024-05-14T00:00:00"/>
    <x v="2"/>
    <s v="Overturn"/>
    <x v="3"/>
    <x v="3"/>
    <s v="Dry"/>
    <x v="1"/>
    <x v="4"/>
    <n v="2"/>
  </r>
  <r>
    <x v="60"/>
    <d v="2024-05-11T00:00:00"/>
    <x v="0"/>
    <s v="Animal Hit"/>
    <x v="1"/>
    <x v="1"/>
    <s v="Under Construction"/>
    <x v="1"/>
    <x v="2"/>
    <n v="5"/>
  </r>
  <r>
    <x v="61"/>
    <d v="2024-03-04T00:00:00"/>
    <x v="1"/>
    <s v="Collision"/>
    <x v="4"/>
    <x v="1"/>
    <s v="Damaged"/>
    <x v="2"/>
    <x v="5"/>
    <n v="5"/>
  </r>
  <r>
    <x v="62"/>
    <d v="2024-06-10T00:00:00"/>
    <x v="6"/>
    <s v="Animal Hit"/>
    <x v="0"/>
    <x v="0"/>
    <s v="Under Construction"/>
    <x v="3"/>
    <x v="2"/>
    <n v="1"/>
  </r>
  <r>
    <x v="63"/>
    <d v="2024-01-10T00:00:00"/>
    <x v="7"/>
    <s v="Overturn"/>
    <x v="5"/>
    <x v="3"/>
    <s v="Under Construction"/>
    <x v="3"/>
    <x v="5"/>
    <n v="4"/>
  </r>
  <r>
    <x v="64"/>
    <d v="2024-03-09T00:00:00"/>
    <x v="2"/>
    <s v="Pedestrian Hit"/>
    <x v="0"/>
    <x v="2"/>
    <s v="Dry"/>
    <x v="2"/>
    <x v="1"/>
    <n v="1"/>
  </r>
  <r>
    <x v="65"/>
    <d v="2024-03-16T00:00:00"/>
    <x v="5"/>
    <s v="Overturn"/>
    <x v="4"/>
    <x v="2"/>
    <s v="Wet"/>
    <x v="2"/>
    <x v="0"/>
    <n v="2"/>
  </r>
  <r>
    <x v="66"/>
    <d v="2024-02-15T00:00:00"/>
    <x v="3"/>
    <s v="Collision"/>
    <x v="1"/>
    <x v="0"/>
    <s v="Wet"/>
    <x v="1"/>
    <x v="5"/>
    <n v="1"/>
  </r>
  <r>
    <x v="67"/>
    <d v="2024-05-05T00:00:00"/>
    <x v="3"/>
    <s v="Overturn"/>
    <x v="1"/>
    <x v="2"/>
    <s v="Damaged"/>
    <x v="0"/>
    <x v="4"/>
    <n v="3"/>
  </r>
  <r>
    <x v="68"/>
    <d v="2024-04-26T00:00:00"/>
    <x v="1"/>
    <s v="Animal Hit"/>
    <x v="4"/>
    <x v="3"/>
    <s v="Under Construction"/>
    <x v="0"/>
    <x v="0"/>
    <n v="0"/>
  </r>
  <r>
    <x v="69"/>
    <d v="2024-01-11T00:00:00"/>
    <x v="7"/>
    <s v="Animal Hit"/>
    <x v="1"/>
    <x v="1"/>
    <s v="Damaged"/>
    <x v="2"/>
    <x v="5"/>
    <n v="4"/>
  </r>
  <r>
    <x v="70"/>
    <d v="2024-05-18T00:00:00"/>
    <x v="6"/>
    <s v="Object Hit"/>
    <x v="3"/>
    <x v="0"/>
    <s v="Dry"/>
    <x v="2"/>
    <x v="0"/>
    <n v="2"/>
  </r>
  <r>
    <x v="71"/>
    <d v="2024-06-05T00:00:00"/>
    <x v="1"/>
    <s v="Animal Hit"/>
    <x v="5"/>
    <x v="3"/>
    <s v="Dry"/>
    <x v="3"/>
    <x v="4"/>
    <n v="4"/>
  </r>
  <r>
    <x v="72"/>
    <d v="2024-03-01T00:00:00"/>
    <x v="3"/>
    <s v="Animal Hit"/>
    <x v="4"/>
    <x v="2"/>
    <s v="Dry"/>
    <x v="2"/>
    <x v="3"/>
    <n v="1"/>
  </r>
  <r>
    <x v="73"/>
    <d v="2024-06-17T00:00:00"/>
    <x v="3"/>
    <s v="Animal Hit"/>
    <x v="3"/>
    <x v="0"/>
    <s v="Wet"/>
    <x v="1"/>
    <x v="4"/>
    <n v="3"/>
  </r>
  <r>
    <x v="74"/>
    <d v="2024-04-17T00:00:00"/>
    <x v="7"/>
    <s v="Pedestrian Hit"/>
    <x v="5"/>
    <x v="3"/>
    <s v="Damaged"/>
    <x v="0"/>
    <x v="1"/>
    <n v="4"/>
  </r>
  <r>
    <x v="75"/>
    <d v="2024-05-25T00:00:00"/>
    <x v="3"/>
    <s v="Object Hit"/>
    <x v="2"/>
    <x v="3"/>
    <s v="Dry"/>
    <x v="1"/>
    <x v="3"/>
    <n v="4"/>
  </r>
  <r>
    <x v="76"/>
    <d v="2024-02-08T00:00:00"/>
    <x v="6"/>
    <s v="Object Hit"/>
    <x v="2"/>
    <x v="0"/>
    <s v="Under Construction"/>
    <x v="2"/>
    <x v="2"/>
    <n v="2"/>
  </r>
  <r>
    <x v="77"/>
    <d v="2024-03-31T00:00:00"/>
    <x v="6"/>
    <s v="Pedestrian Hit"/>
    <x v="3"/>
    <x v="0"/>
    <s v="Damaged"/>
    <x v="1"/>
    <x v="0"/>
    <n v="0"/>
  </r>
  <r>
    <x v="78"/>
    <d v="2024-02-07T00:00:00"/>
    <x v="1"/>
    <s v="Collision"/>
    <x v="5"/>
    <x v="0"/>
    <s v="Wet"/>
    <x v="2"/>
    <x v="0"/>
    <n v="5"/>
  </r>
  <r>
    <x v="79"/>
    <d v="2024-03-24T00:00:00"/>
    <x v="5"/>
    <s v="Overturn"/>
    <x v="0"/>
    <x v="3"/>
    <s v="Dry"/>
    <x v="2"/>
    <x v="1"/>
    <n v="4"/>
  </r>
  <r>
    <x v="80"/>
    <d v="2024-01-29T00:00:00"/>
    <x v="4"/>
    <s v="Collision"/>
    <x v="3"/>
    <x v="0"/>
    <s v="Dry"/>
    <x v="3"/>
    <x v="1"/>
    <n v="0"/>
  </r>
  <r>
    <x v="81"/>
    <d v="2024-04-22T00:00:00"/>
    <x v="5"/>
    <s v="Collision"/>
    <x v="5"/>
    <x v="2"/>
    <s v="Wet"/>
    <x v="1"/>
    <x v="0"/>
    <n v="3"/>
  </r>
  <r>
    <x v="82"/>
    <d v="2024-05-12T00:00:00"/>
    <x v="1"/>
    <s v="Object Hit"/>
    <x v="4"/>
    <x v="2"/>
    <s v="Damaged"/>
    <x v="0"/>
    <x v="3"/>
    <n v="4"/>
  </r>
  <r>
    <x v="83"/>
    <d v="2024-01-28T00:00:00"/>
    <x v="2"/>
    <s v="Overturn"/>
    <x v="4"/>
    <x v="3"/>
    <s v="Under Construction"/>
    <x v="3"/>
    <x v="2"/>
    <n v="2"/>
  </r>
  <r>
    <x v="84"/>
    <d v="2024-01-17T00:00:00"/>
    <x v="4"/>
    <s v="Animal Hit"/>
    <x v="2"/>
    <x v="1"/>
    <s v="Wet"/>
    <x v="3"/>
    <x v="5"/>
    <n v="3"/>
  </r>
  <r>
    <x v="85"/>
    <d v="2024-01-11T00:00:00"/>
    <x v="7"/>
    <s v="Animal Hit"/>
    <x v="3"/>
    <x v="0"/>
    <s v="Dry"/>
    <x v="3"/>
    <x v="4"/>
    <n v="2"/>
  </r>
  <r>
    <x v="86"/>
    <d v="2024-06-14T00:00:00"/>
    <x v="5"/>
    <s v="Animal Hit"/>
    <x v="4"/>
    <x v="2"/>
    <s v="Wet"/>
    <x v="0"/>
    <x v="2"/>
    <n v="1"/>
  </r>
  <r>
    <x v="87"/>
    <d v="2024-03-22T00:00:00"/>
    <x v="0"/>
    <s v="Object Hit"/>
    <x v="1"/>
    <x v="2"/>
    <s v="Dry"/>
    <x v="0"/>
    <x v="3"/>
    <n v="2"/>
  </r>
  <r>
    <x v="88"/>
    <d v="2024-06-02T00:00:00"/>
    <x v="6"/>
    <s v="Object Hit"/>
    <x v="0"/>
    <x v="1"/>
    <s v="Dry"/>
    <x v="2"/>
    <x v="5"/>
    <n v="0"/>
  </r>
  <r>
    <x v="89"/>
    <d v="2024-01-03T00:00:00"/>
    <x v="1"/>
    <s v="Collision"/>
    <x v="3"/>
    <x v="0"/>
    <s v="Dry"/>
    <x v="3"/>
    <x v="0"/>
    <n v="1"/>
  </r>
  <r>
    <x v="90"/>
    <d v="2024-06-15T00:00:00"/>
    <x v="7"/>
    <s v="Pedestrian Hit"/>
    <x v="0"/>
    <x v="1"/>
    <s v="Under Construction"/>
    <x v="1"/>
    <x v="5"/>
    <n v="4"/>
  </r>
  <r>
    <x v="91"/>
    <d v="2024-03-18T00:00:00"/>
    <x v="0"/>
    <s v="Collision"/>
    <x v="5"/>
    <x v="0"/>
    <s v="Damaged"/>
    <x v="1"/>
    <x v="1"/>
    <n v="1"/>
  </r>
  <r>
    <x v="92"/>
    <d v="2024-04-07T00:00:00"/>
    <x v="2"/>
    <s v="Pedestrian Hit"/>
    <x v="4"/>
    <x v="1"/>
    <s v="Wet"/>
    <x v="3"/>
    <x v="1"/>
    <n v="5"/>
  </r>
  <r>
    <x v="93"/>
    <d v="2024-06-13T00:00:00"/>
    <x v="7"/>
    <s v="Animal Hit"/>
    <x v="1"/>
    <x v="0"/>
    <s v="Damaged"/>
    <x v="1"/>
    <x v="1"/>
    <n v="0"/>
  </r>
  <r>
    <x v="94"/>
    <d v="2024-02-20T00:00:00"/>
    <x v="1"/>
    <s v="Collision"/>
    <x v="1"/>
    <x v="0"/>
    <s v="Damaged"/>
    <x v="2"/>
    <x v="4"/>
    <n v="3"/>
  </r>
  <r>
    <x v="95"/>
    <d v="2024-01-22T00:00:00"/>
    <x v="3"/>
    <s v="Animal Hit"/>
    <x v="3"/>
    <x v="0"/>
    <s v="Under Construction"/>
    <x v="2"/>
    <x v="4"/>
    <n v="5"/>
  </r>
  <r>
    <x v="96"/>
    <d v="2024-04-21T00:00:00"/>
    <x v="4"/>
    <s v="Object Hit"/>
    <x v="2"/>
    <x v="2"/>
    <s v="Damaged"/>
    <x v="1"/>
    <x v="4"/>
    <n v="3"/>
  </r>
  <r>
    <x v="97"/>
    <d v="2024-04-08T00:00:00"/>
    <x v="4"/>
    <s v="Pedestrian Hit"/>
    <x v="4"/>
    <x v="2"/>
    <s v="Wet"/>
    <x v="3"/>
    <x v="5"/>
    <n v="0"/>
  </r>
  <r>
    <x v="98"/>
    <d v="2024-06-21T00:00:00"/>
    <x v="7"/>
    <s v="Overturn"/>
    <x v="0"/>
    <x v="0"/>
    <s v="Wet"/>
    <x v="2"/>
    <x v="4"/>
    <n v="4"/>
  </r>
  <r>
    <x v="99"/>
    <d v="2024-01-26T00:00:00"/>
    <x v="5"/>
    <s v="Pedestrian Hit"/>
    <x v="4"/>
    <x v="2"/>
    <s v="Damaged"/>
    <x v="3"/>
    <x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UST1000"/>
    <x v="0"/>
    <s v="India"/>
    <s v="Karnataka"/>
    <n v="9515759149"/>
    <x v="0"/>
    <x v="0"/>
    <n v="2439.81"/>
    <n v="5"/>
    <n v="3559.55"/>
    <s v="Credit Card"/>
    <n v="12199.05"/>
    <s v="High"/>
    <n v="29.18"/>
    <n v="12199.05"/>
    <s v="Medium"/>
    <n v="29.18"/>
  </r>
  <r>
    <s v="CUST1001"/>
    <x v="0"/>
    <s v="India"/>
    <s v="Karnataka"/>
    <n v="9720381947"/>
    <x v="1"/>
    <x v="1"/>
    <n v="1621.43"/>
    <n v="13"/>
    <n v="4029.57"/>
    <s v="Net Banking"/>
    <n v="21078.59"/>
    <s v="High"/>
    <n v="19.12"/>
    <n v="21078.59"/>
    <s v="High"/>
    <n v="19.12"/>
  </r>
  <r>
    <s v="CUST1002"/>
    <x v="1"/>
    <s v="India"/>
    <s v="West Bengal"/>
    <n v="9483465530"/>
    <x v="0"/>
    <x v="2"/>
    <n v="1363.73"/>
    <n v="1"/>
    <n v="362.2"/>
    <s v="Net Banking"/>
    <n v="1363.73"/>
    <s v="Low"/>
    <n v="26.56"/>
    <n v="1363.73"/>
    <s v="Low"/>
    <n v="26.56"/>
  </r>
  <r>
    <s v="CUST1003"/>
    <x v="1"/>
    <s v="India"/>
    <s v="West Bengal"/>
    <n v="9350165589"/>
    <x v="1"/>
    <x v="3"/>
    <n v="1172.93"/>
    <n v="5"/>
    <n v="1542.65"/>
    <s v="Cash"/>
    <n v="5864.65"/>
    <s v="Medium"/>
    <n v="26.3"/>
    <n v="5864.6500000000005"/>
    <s v="Low"/>
    <n v="26.3"/>
  </r>
  <r>
    <s v="CUST1004"/>
    <x v="1"/>
    <s v="India"/>
    <s v="Karnataka"/>
    <n v="9621991901"/>
    <x v="0"/>
    <x v="4"/>
    <n v="2457.56"/>
    <n v="13"/>
    <n v="6972.71"/>
    <s v="Credit Card"/>
    <n v="31948.28"/>
    <s v="High"/>
    <n v="21.82"/>
    <n v="31948.28"/>
    <s v="High"/>
    <n v="21.82"/>
  </r>
  <r>
    <s v="CUST1005"/>
    <x v="1"/>
    <s v="India"/>
    <s v="West Bengal"/>
    <n v="9734105442"/>
    <x v="0"/>
    <x v="5"/>
    <n v="2661.44"/>
    <n v="7"/>
    <n v="2581.67"/>
    <s v="Net Banking"/>
    <n v="18630.080000000002"/>
    <s v="High"/>
    <n v="13.86"/>
    <n v="18630.080000000002"/>
    <s v="High"/>
    <n v="13.86"/>
  </r>
  <r>
    <s v="CUST1006"/>
    <x v="2"/>
    <s v="India"/>
    <s v="Tamil Nadu"/>
    <n v="9117390999"/>
    <x v="0"/>
    <x v="2"/>
    <n v="1400.82"/>
    <n v="6"/>
    <n v="994.44"/>
    <s v="UPI"/>
    <n v="8404.92"/>
    <s v="Medium"/>
    <n v="11.83"/>
    <n v="8404.92"/>
    <s v="Medium"/>
    <n v="11.83"/>
  </r>
  <r>
    <s v="CUST1007"/>
    <x v="0"/>
    <s v="India"/>
    <s v="Karnataka"/>
    <n v="9513032833"/>
    <x v="1"/>
    <x v="6"/>
    <n v="416.18"/>
    <n v="3"/>
    <n v="327.88"/>
    <s v="Net Banking"/>
    <n v="1248.54"/>
    <s v="Low"/>
    <n v="26.26"/>
    <n v="1248.54"/>
    <s v="Low"/>
    <n v="26.26"/>
  </r>
  <r>
    <s v="CUST1008"/>
    <x v="1"/>
    <s v="India"/>
    <s v="Maharashtra"/>
    <n v="95543976868"/>
    <x v="1"/>
    <x v="6"/>
    <n v="1290.47"/>
    <n v="6"/>
    <n v="1045.43"/>
    <s v="Net Banking"/>
    <n v="7742.82"/>
    <s v="Medium"/>
    <n v="13.5"/>
    <n v="7742.82"/>
    <s v="Medium"/>
    <n v="13.5"/>
  </r>
  <r>
    <s v="CUST1009"/>
    <x v="0"/>
    <s v="India"/>
    <s v="Gujarat"/>
    <n v="9866250123"/>
    <x v="0"/>
    <x v="2"/>
    <n v="2519.94"/>
    <n v="15"/>
    <n v="11123.31"/>
    <s v="Cash"/>
    <n v="37799.1"/>
    <s v="High"/>
    <n v="29.43"/>
    <n v="37799.1"/>
    <s v="High"/>
    <n v="29.43"/>
  </r>
  <r>
    <s v="CUST1010"/>
    <x v="1"/>
    <s v="India"/>
    <s v="Rajasthan"/>
    <n v="9884314044"/>
    <x v="0"/>
    <x v="2"/>
    <n v="2814.97"/>
    <n v="1"/>
    <n v="716.15"/>
    <s v="Net Banking"/>
    <n v="2814.97"/>
    <s v="Low"/>
    <n v="25.44"/>
    <n v="2814.97"/>
    <s v="Low"/>
    <n v="25.44"/>
  </r>
  <r>
    <s v="CUST1011"/>
    <x v="2"/>
    <s v="India"/>
    <s v="West Bengal"/>
    <n v="9192128284"/>
    <x v="0"/>
    <x v="4"/>
    <n v="841.72"/>
    <n v="13"/>
    <n v="2130.1799999999998"/>
    <s v="UPI"/>
    <n v="10942.36"/>
    <s v="High"/>
    <n v="19.47"/>
    <n v="10942.36"/>
    <s v="Medium"/>
    <n v="19.47"/>
  </r>
  <r>
    <s v="CUST1012"/>
    <x v="3"/>
    <s v="India"/>
    <s v="West Bengal"/>
    <n v="9731590483"/>
    <x v="2"/>
    <x v="7"/>
    <n v="1169.28"/>
    <n v="2"/>
    <n v="273.95"/>
    <s v="Credit Card"/>
    <n v="2338.56"/>
    <s v="Low"/>
    <n v="11.71"/>
    <n v="2338.56"/>
    <s v="Low"/>
    <n v="11.71"/>
  </r>
  <r>
    <s v="CUST1013"/>
    <x v="0"/>
    <s v="India"/>
    <s v="Karnataka"/>
    <n v="9245312903"/>
    <x v="1"/>
    <x v="8"/>
    <n v="2320.0300000000002"/>
    <n v="3"/>
    <n v="1260.55"/>
    <s v="Credit Card"/>
    <n v="6960.09"/>
    <s v="Medium"/>
    <n v="18.11"/>
    <n v="6960.09"/>
    <s v="Low"/>
    <n v="18.11"/>
  </r>
  <r>
    <s v="CUST1014"/>
    <x v="3"/>
    <s v="India"/>
    <s v="West Bengal"/>
    <n v="9587137236"/>
    <x v="0"/>
    <x v="2"/>
    <n v="1780.66"/>
    <n v="11"/>
    <n v="2826.93"/>
    <s v="UPI"/>
    <n v="19587.259999999998"/>
    <s v="High"/>
    <n v="14.43"/>
    <n v="19587.260000000002"/>
    <s v="High"/>
    <n v="14.43"/>
  </r>
  <r>
    <s v="CUST1015"/>
    <x v="3"/>
    <s v="India"/>
    <s v="Tamil Nadu"/>
    <n v="9161819590"/>
    <x v="2"/>
    <x v="9"/>
    <n v="2672"/>
    <n v="15"/>
    <n v="4719.91"/>
    <s v="Cash"/>
    <n v="40080"/>
    <s v="High"/>
    <n v="11.78"/>
    <n v="40080"/>
    <s v="High"/>
    <n v="11.78"/>
  </r>
  <r>
    <s v="CUST1016"/>
    <x v="1"/>
    <s v="India"/>
    <s v="West Bengal"/>
    <n v="9551484924"/>
    <x v="0"/>
    <x v="10"/>
    <n v="824.49"/>
    <n v="9"/>
    <n v="1403.14"/>
    <s v="Debit Card"/>
    <n v="7420.41"/>
    <s v="Medium"/>
    <n v="18.91"/>
    <n v="7420.41"/>
    <s v="Medium"/>
    <n v="18.91"/>
  </r>
  <r>
    <s v="CUST1017"/>
    <x v="2"/>
    <s v="India"/>
    <s v="Uttar Pradesh"/>
    <n v="91682255459"/>
    <x v="2"/>
    <x v="11"/>
    <n v="2896.96"/>
    <n v="7"/>
    <n v="3528.3"/>
    <s v="Net Banking"/>
    <n v="20278.72"/>
    <s v="High"/>
    <n v="17.399999999999999"/>
    <n v="20278.72"/>
    <s v="High"/>
    <n v="17.399999999999999"/>
  </r>
  <r>
    <s v="CUST1018"/>
    <x v="1"/>
    <s v="India"/>
    <s v="Maharashtra"/>
    <n v="9277023818"/>
    <x v="2"/>
    <x v="9"/>
    <n v="1235.32"/>
    <n v="9"/>
    <n v="2542.0700000000002"/>
    <s v="Debit Card"/>
    <n v="11117.88"/>
    <s v="High"/>
    <n v="22.86"/>
    <n v="11117.88"/>
    <s v="Medium"/>
    <n v="22.86"/>
  </r>
  <r>
    <s v="CUST1019"/>
    <x v="2"/>
    <s v="India"/>
    <s v="Gujarat"/>
    <n v="9670448490"/>
    <x v="1"/>
    <x v="1"/>
    <n v="2168.33"/>
    <n v="3"/>
    <n v="1394.93"/>
    <s v="Cash"/>
    <n v="6504.99"/>
    <s v="Medium"/>
    <n v="21.44"/>
    <n v="6504.99"/>
    <s v="Low"/>
    <n v="21.44"/>
  </r>
  <r>
    <s v="CUST1020"/>
    <x v="2"/>
    <s v="India"/>
    <s v="West Bengal"/>
    <n v="9123788207"/>
    <x v="0"/>
    <x v="10"/>
    <n v="2654.54"/>
    <n v="5"/>
    <n v="3308.52"/>
    <s v="Debit Card"/>
    <n v="13272.7"/>
    <s v="High"/>
    <n v="24.93"/>
    <n v="13272.7"/>
    <s v="Medium"/>
    <n v="24.93"/>
  </r>
  <r>
    <s v="CUST1021"/>
    <x v="0"/>
    <s v="India"/>
    <s v="Tamil Nadu"/>
    <n v="99831923457"/>
    <x v="2"/>
    <x v="12"/>
    <n v="1313.77"/>
    <n v="7"/>
    <n v="2435.5500000000002"/>
    <s v="Cash"/>
    <n v="9196.39"/>
    <s v="Medium"/>
    <n v="26.48"/>
    <n v="9196.39"/>
    <s v="Medium"/>
    <n v="26.48"/>
  </r>
  <r>
    <s v="CUST1022"/>
    <x v="2"/>
    <s v="India"/>
    <s v="Gujarat"/>
    <n v="9822358874"/>
    <x v="2"/>
    <x v="11"/>
    <n v="1602.24"/>
    <n v="13"/>
    <n v="3082.85"/>
    <s v="Debit Card"/>
    <n v="20829.12"/>
    <s v="High"/>
    <n v="14.8"/>
    <n v="20829.12"/>
    <s v="High"/>
    <n v="14.8"/>
  </r>
  <r>
    <s v="CUST1023"/>
    <x v="0"/>
    <s v="India"/>
    <s v="Uttar Pradesh"/>
    <n v="9497595031"/>
    <x v="1"/>
    <x v="3"/>
    <n v="592.33000000000004"/>
    <n v="4"/>
    <n v="539.64"/>
    <s v="Net Banking"/>
    <n v="2369.3200000000002"/>
    <s v="Low"/>
    <n v="22.78"/>
    <n v="2369.3200000000002"/>
    <s v="Low"/>
    <n v="22.78"/>
  </r>
  <r>
    <s v="CUST1024"/>
    <x v="1"/>
    <s v="India"/>
    <s v="Rajasthan"/>
    <n v="9781615192"/>
    <x v="2"/>
    <x v="9"/>
    <n v="589.14"/>
    <n v="8"/>
    <n v="1252.56"/>
    <s v="Cash"/>
    <n v="4713.12"/>
    <s v="Low"/>
    <n v="26.58"/>
    <n v="4713.12"/>
    <s v="Low"/>
    <n v="26.58"/>
  </r>
  <r>
    <s v="CUST1025"/>
    <x v="3"/>
    <s v="India"/>
    <s v="Uttar Pradesh"/>
    <n v="9310431691"/>
    <x v="1"/>
    <x v="6"/>
    <n v="2354.6"/>
    <n v="4"/>
    <n v="2575.4299999999998"/>
    <s v="Credit Card"/>
    <n v="9418.4"/>
    <s v="Medium"/>
    <n v="27.34"/>
    <n v="9418.4"/>
    <s v="Medium"/>
    <n v="27.34"/>
  </r>
  <r>
    <s v="CUST1026"/>
    <x v="2"/>
    <s v="India"/>
    <s v="Uttar Pradesh"/>
    <n v="9375633062"/>
    <x v="2"/>
    <x v="13"/>
    <n v="1920.55"/>
    <n v="6"/>
    <n v="2254.59"/>
    <s v="Credit Card"/>
    <n v="11523.3"/>
    <s v="High"/>
    <n v="19.57"/>
    <n v="11523.3"/>
    <s v="Medium"/>
    <n v="19.57"/>
  </r>
  <r>
    <s v="CUST1027"/>
    <x v="2"/>
    <s v="India"/>
    <s v="West Bengal"/>
    <n v="9958467371"/>
    <x v="0"/>
    <x v="5"/>
    <n v="1086.4100000000001"/>
    <n v="7"/>
    <n v="2066.7600000000002"/>
    <s v="Credit Card"/>
    <n v="7604.87"/>
    <s v="Medium"/>
    <n v="27.18"/>
    <n v="7604.8700000000008"/>
    <s v="Medium"/>
    <n v="27.18"/>
  </r>
  <r>
    <s v="CUST1028"/>
    <x v="2"/>
    <s v="India"/>
    <s v="West Bengal"/>
    <n v="9485913642"/>
    <x v="1"/>
    <x v="8"/>
    <n v="1181.07"/>
    <n v="13"/>
    <n v="3821.07"/>
    <s v="Cash"/>
    <n v="15353.91"/>
    <s v="High"/>
    <n v="24.89"/>
    <n v="15353.91"/>
    <s v="High"/>
    <n v="24.89"/>
  </r>
  <r>
    <s v="CUST1029"/>
    <x v="2"/>
    <s v="India"/>
    <s v="Uttar Pradesh"/>
    <n v="9942727052"/>
    <x v="1"/>
    <x v="14"/>
    <n v="2521.1999999999998"/>
    <n v="8"/>
    <n v="6046.68"/>
    <s v="Credit Card"/>
    <n v="20169.599999999999"/>
    <s v="High"/>
    <n v="29.98"/>
    <n v="20169.599999999999"/>
    <s v="High"/>
    <n v="29.98"/>
  </r>
  <r>
    <s v="CUST1030"/>
    <x v="1"/>
    <s v="India"/>
    <s v="Gujarat"/>
    <n v="9164209990"/>
    <x v="0"/>
    <x v="4"/>
    <n v="1741.71"/>
    <n v="15"/>
    <n v="4026.14"/>
    <s v="UPI"/>
    <n v="26125.65"/>
    <s v="High"/>
    <n v="15.41"/>
    <n v="26125.65"/>
    <s v="High"/>
    <n v="15.41"/>
  </r>
  <r>
    <s v="CUST1031"/>
    <x v="1"/>
    <s v="India"/>
    <s v="Uttar Pradesh"/>
    <n v="9972130283"/>
    <x v="1"/>
    <x v="3"/>
    <n v="1691.18"/>
    <n v="9"/>
    <n v="3286.83"/>
    <s v="Net Banking"/>
    <n v="15220.62"/>
    <s v="High"/>
    <n v="21.59"/>
    <n v="15220.62"/>
    <s v="High"/>
    <n v="21.59"/>
  </r>
  <r>
    <s v="CUST1032"/>
    <x v="1"/>
    <s v="India"/>
    <s v="Uttar Pradesh"/>
    <n v="9305312346"/>
    <x v="0"/>
    <x v="10"/>
    <n v="2430.4899999999998"/>
    <n v="1"/>
    <n v="538.34"/>
    <s v="Debit Card"/>
    <n v="2430.4899999999998"/>
    <s v="Low"/>
    <n v="22.15"/>
    <n v="2430.4899999999998"/>
    <s v="Low"/>
    <n v="22.15"/>
  </r>
  <r>
    <s v="CUST1033"/>
    <x v="0"/>
    <s v="India"/>
    <s v="Uttar Pradesh"/>
    <n v="9403336927"/>
    <x v="0"/>
    <x v="5"/>
    <n v="1937.5"/>
    <n v="10"/>
    <n v="2548.08"/>
    <s v="UPI"/>
    <n v="19375"/>
    <s v="High"/>
    <n v="13.15"/>
    <n v="19375"/>
    <s v="High"/>
    <n v="13.15"/>
  </r>
  <r>
    <s v="CUST1034"/>
    <x v="3"/>
    <s v="India"/>
    <s v="Karnataka"/>
    <n v="9209432112"/>
    <x v="0"/>
    <x v="2"/>
    <n v="2848.61"/>
    <n v="15"/>
    <n v="6188.69"/>
    <s v="Debit Card"/>
    <n v="42729.15"/>
    <s v="High"/>
    <n v="14.48"/>
    <n v="42729.15"/>
    <s v="High"/>
    <n v="14.48"/>
  </r>
  <r>
    <s v="CUST1035"/>
    <x v="3"/>
    <s v="India"/>
    <s v="Maharashtra"/>
    <n v="92886736565"/>
    <x v="1"/>
    <x v="14"/>
    <n v="537.01"/>
    <n v="15"/>
    <n v="848.33"/>
    <s v="Debit Card"/>
    <n v="8055.15"/>
    <s v="Medium"/>
    <n v="10.53"/>
    <n v="8055.15"/>
    <s v="Medium"/>
    <n v="10.53"/>
  </r>
  <r>
    <s v="CUST1036"/>
    <x v="2"/>
    <s v="India"/>
    <s v="Karnataka"/>
    <n v="9696039067"/>
    <x v="1"/>
    <x v="3"/>
    <n v="2052.79"/>
    <n v="1"/>
    <n v="296.79000000000002"/>
    <s v="Net Banking"/>
    <n v="2052.79"/>
    <s v="Low"/>
    <n v="14.46"/>
    <n v="2052.79"/>
    <s v="Low"/>
    <n v="14.46"/>
  </r>
  <r>
    <s v="CUST1037"/>
    <x v="2"/>
    <s v="India"/>
    <s v="Maharashtra"/>
    <n v="9729755086"/>
    <x v="0"/>
    <x v="10"/>
    <n v="1708.1"/>
    <n v="3"/>
    <n v="897.22"/>
    <s v="Credit Card"/>
    <n v="5124.3"/>
    <s v="Medium"/>
    <n v="17.510000000000002"/>
    <n v="5124.2999999999993"/>
    <s v="Low"/>
    <n v="17.510000000000002"/>
  </r>
  <r>
    <s v="CUST1038"/>
    <x v="2"/>
    <s v="India"/>
    <s v="Uttar Pradesh"/>
    <n v="9291717779"/>
    <x v="2"/>
    <x v="11"/>
    <n v="1616.55"/>
    <n v="14"/>
    <n v="6621.29"/>
    <s v="Credit Card"/>
    <n v="22631.7"/>
    <s v="High"/>
    <n v="29.26"/>
    <n v="22631.7"/>
    <s v="High"/>
    <n v="29.26"/>
  </r>
  <r>
    <s v="CUST1039"/>
    <x v="2"/>
    <s v="India"/>
    <s v="Karnataka"/>
    <n v="9596984707"/>
    <x v="0"/>
    <x v="4"/>
    <n v="1774.62"/>
    <n v="7"/>
    <n v="3378.16"/>
    <s v="Credit Card"/>
    <n v="12422.34"/>
    <s v="High"/>
    <n v="27.19"/>
    <n v="12422.34"/>
    <s v="Medium"/>
    <n v="27.19"/>
  </r>
  <r>
    <s v="CUST1040"/>
    <x v="1"/>
    <s v="India"/>
    <s v="Gujarat"/>
    <n v="9621477109"/>
    <x v="2"/>
    <x v="13"/>
    <n v="644.14"/>
    <n v="12"/>
    <n v="988.52"/>
    <s v="Cash"/>
    <n v="7729.68"/>
    <s v="Medium"/>
    <n v="12.79"/>
    <n v="7729.68"/>
    <s v="Medium"/>
    <n v="12.79"/>
  </r>
  <r>
    <s v="CUST1041"/>
    <x v="1"/>
    <s v="India"/>
    <s v="West Bengal"/>
    <n v="9813614929"/>
    <x v="1"/>
    <x v="3"/>
    <n v="1767.47"/>
    <n v="13"/>
    <n v="3353.4"/>
    <s v="UPI"/>
    <n v="22977.11"/>
    <s v="High"/>
    <n v="14.59"/>
    <n v="22977.11"/>
    <s v="High"/>
    <n v="14.59"/>
  </r>
  <r>
    <s v="CUST1042"/>
    <x v="2"/>
    <s v="India"/>
    <s v="Tamil Nadu"/>
    <n v="9314930259"/>
    <x v="0"/>
    <x v="5"/>
    <n v="2506.6"/>
    <n v="11"/>
    <n v="8011.16"/>
    <s v="UPI"/>
    <n v="27572.6"/>
    <s v="High"/>
    <n v="29.05"/>
    <n v="27572.6"/>
    <s v="High"/>
    <n v="29.05"/>
  </r>
  <r>
    <s v="CUST1043"/>
    <x v="0"/>
    <s v="India"/>
    <s v="West Bengal"/>
    <n v="93262535688"/>
    <x v="2"/>
    <x v="7"/>
    <n v="727.87"/>
    <n v="2"/>
    <n v="385.93"/>
    <s v="Credit Card"/>
    <n v="1455.74"/>
    <s v="Low"/>
    <n v="26.51"/>
    <n v="1455.74"/>
    <s v="Low"/>
    <n v="26.51"/>
  </r>
  <r>
    <s v="CUST1044"/>
    <x v="0"/>
    <s v="India"/>
    <s v="Uttar Pradesh"/>
    <n v="9922473225"/>
    <x v="1"/>
    <x v="3"/>
    <n v="2509.39"/>
    <n v="4"/>
    <n v="2607.48"/>
    <s v="Credit Card"/>
    <n v="10037.56"/>
    <s v="High"/>
    <n v="25.98"/>
    <n v="10037.56"/>
    <s v="Medium"/>
    <n v="25.98"/>
  </r>
  <r>
    <s v="CUST1045"/>
    <x v="3"/>
    <s v="India"/>
    <s v="Rajasthan"/>
    <n v="9435049619"/>
    <x v="2"/>
    <x v="9"/>
    <n v="254.27"/>
    <n v="5"/>
    <n v="247.89"/>
    <s v="Net Banking"/>
    <n v="1271.3499999999999"/>
    <s v="Low"/>
    <n v="19.5"/>
    <n v="1271.3500000000001"/>
    <s v="Low"/>
    <n v="19.5"/>
  </r>
  <r>
    <s v="CUST1046"/>
    <x v="2"/>
    <s v="India"/>
    <s v="Uttar Pradesh"/>
    <n v="9139717689"/>
    <x v="2"/>
    <x v="7"/>
    <n v="1104.23"/>
    <n v="11"/>
    <n v="1883.37"/>
    <s v="Credit Card"/>
    <n v="12146.53"/>
    <s v="High"/>
    <n v="15.51"/>
    <n v="12146.53"/>
    <s v="Medium"/>
    <n v="15.51"/>
  </r>
  <r>
    <s v="CUST1047"/>
    <x v="1"/>
    <s v="India"/>
    <s v="West Bengal"/>
    <n v="9873282041"/>
    <x v="2"/>
    <x v="12"/>
    <n v="861.53"/>
    <n v="3"/>
    <n v="482.01"/>
    <s v="Debit Card"/>
    <n v="2584.59"/>
    <s v="Low"/>
    <n v="18.649999999999999"/>
    <n v="2584.59"/>
    <s v="Low"/>
    <n v="18.649999999999999"/>
  </r>
  <r>
    <s v="CUST1048"/>
    <x v="3"/>
    <s v="India"/>
    <s v="West Bengal"/>
    <n v="9520705759"/>
    <x v="0"/>
    <x v="2"/>
    <n v="940.76"/>
    <n v="4"/>
    <n v="842.47"/>
    <s v="Debit Card"/>
    <n v="3763.04"/>
    <s v="Low"/>
    <n v="22.39"/>
    <n v="3763.04"/>
    <s v="Low"/>
    <n v="22.39"/>
  </r>
  <r>
    <s v="CUST1049"/>
    <x v="2"/>
    <s v="India"/>
    <s v="West Bengal"/>
    <n v="9648648568"/>
    <x v="0"/>
    <x v="2"/>
    <n v="1505.5"/>
    <n v="11"/>
    <n v="3985.19"/>
    <s v="Debit Card"/>
    <n v="16560.5"/>
    <s v="High"/>
    <n v="24.06"/>
    <n v="16560.5"/>
    <s v="High"/>
    <n v="24.06"/>
  </r>
  <r>
    <s v="CUST1050"/>
    <x v="0"/>
    <s v="India"/>
    <s v="Uttar Pradesh"/>
    <n v="9416435713"/>
    <x v="0"/>
    <x v="4"/>
    <n v="1477.49"/>
    <n v="11"/>
    <n v="2428.98"/>
    <s v="Credit Card"/>
    <n v="16252.39"/>
    <s v="High"/>
    <n v="14.95"/>
    <n v="16252.39"/>
    <s v="High"/>
    <n v="14.95"/>
  </r>
  <r>
    <s v="CUST1051"/>
    <x v="2"/>
    <s v="India"/>
    <s v="Rajasthan"/>
    <n v="9211381294"/>
    <x v="1"/>
    <x v="6"/>
    <n v="704.64"/>
    <n v="2"/>
    <n v="163.57"/>
    <s v="UPI"/>
    <n v="1409.28"/>
    <s v="Low"/>
    <n v="11.61"/>
    <n v="1409.28"/>
    <s v="Low"/>
    <n v="11.61"/>
  </r>
  <r>
    <s v="CUST1052"/>
    <x v="3"/>
    <s v="India"/>
    <s v="West Bengal"/>
    <n v="9791244114"/>
    <x v="1"/>
    <x v="14"/>
    <n v="2030.2"/>
    <n v="13"/>
    <n v="3695.03"/>
    <s v="Net Banking"/>
    <n v="26392.6"/>
    <s v="High"/>
    <n v="14"/>
    <n v="26392.600000000002"/>
    <s v="High"/>
    <n v="14"/>
  </r>
  <r>
    <s v="CUST1053"/>
    <x v="0"/>
    <s v="India"/>
    <s v="Rajasthan"/>
    <n v="9194670146"/>
    <x v="0"/>
    <x v="0"/>
    <n v="1822.28"/>
    <n v="4"/>
    <n v="1973.2"/>
    <s v="Cash"/>
    <n v="7289.12"/>
    <s v="Medium"/>
    <n v="27.07"/>
    <n v="7289.12"/>
    <s v="Medium"/>
    <n v="27.07"/>
  </r>
  <r>
    <s v="CUST1054"/>
    <x v="3"/>
    <s v="India"/>
    <s v="Maharashtra"/>
    <n v="9519275644"/>
    <x v="1"/>
    <x v="3"/>
    <n v="600.17999999999995"/>
    <n v="11"/>
    <n v="1525.57"/>
    <s v="Credit Card"/>
    <n v="6601.98"/>
    <s v="Medium"/>
    <n v="23.11"/>
    <n v="6601.98"/>
    <s v="Low"/>
    <n v="23.11"/>
  </r>
  <r>
    <s v="CUST1055"/>
    <x v="1"/>
    <s v="India"/>
    <s v="Maharashtra"/>
    <n v="9520013561"/>
    <x v="0"/>
    <x v="2"/>
    <n v="2330.36"/>
    <n v="7"/>
    <n v="3532.26"/>
    <s v="Debit Card"/>
    <n v="16312.52"/>
    <s v="High"/>
    <n v="21.65"/>
    <n v="16312.52"/>
    <s v="High"/>
    <n v="21.65"/>
  </r>
  <r>
    <s v="CUST1056"/>
    <x v="3"/>
    <s v="India"/>
    <s v="Gujarat"/>
    <n v="95989895092"/>
    <x v="2"/>
    <x v="11"/>
    <n v="1084.67"/>
    <n v="13"/>
    <n v="4140.1400000000003"/>
    <s v="Cash"/>
    <n v="14100.71"/>
    <s v="High"/>
    <n v="29.36"/>
    <n v="14100.710000000001"/>
    <s v="Medium"/>
    <n v="29.36"/>
  </r>
  <r>
    <s v="CUST1057"/>
    <x v="2"/>
    <s v="India"/>
    <s v="Uttar Pradesh"/>
    <n v="9499862542"/>
    <x v="1"/>
    <x v="14"/>
    <n v="1893.55"/>
    <n v="12"/>
    <n v="3204.64"/>
    <s v="Net Banking"/>
    <n v="22722.6"/>
    <s v="High"/>
    <n v="14.1"/>
    <n v="22722.6"/>
    <s v="High"/>
    <n v="14.1"/>
  </r>
  <r>
    <s v="CUST1058"/>
    <x v="3"/>
    <s v="India"/>
    <s v="Gujarat"/>
    <n v="9724136290"/>
    <x v="1"/>
    <x v="6"/>
    <n v="1747.22"/>
    <n v="6"/>
    <n v="2678.22"/>
    <s v="Cash"/>
    <n v="10483.32"/>
    <s v="High"/>
    <n v="25.55"/>
    <n v="10483.32"/>
    <s v="Medium"/>
    <n v="25.55"/>
  </r>
  <r>
    <s v="CUST1059"/>
    <x v="2"/>
    <s v="India"/>
    <s v="Gujarat"/>
    <n v="9321909198"/>
    <x v="1"/>
    <x v="8"/>
    <n v="287.31"/>
    <n v="8"/>
    <n v="381.56"/>
    <s v="Debit Card"/>
    <n v="2298.48"/>
    <s v="Low"/>
    <n v="16.600000000000001"/>
    <n v="2298.48"/>
    <s v="Low"/>
    <n v="16.600000000000001"/>
  </r>
  <r>
    <s v="CUST1060"/>
    <x v="3"/>
    <s v="India"/>
    <s v="Maharashtra"/>
    <n v="9760693305"/>
    <x v="0"/>
    <x v="0"/>
    <n v="1700.05"/>
    <n v="2"/>
    <n v="383.92"/>
    <s v="UPI"/>
    <n v="3400.1"/>
    <s v="Low"/>
    <n v="11.29"/>
    <n v="3400.1"/>
    <s v="Low"/>
    <n v="11.29"/>
  </r>
  <r>
    <s v="CUST1061"/>
    <x v="2"/>
    <s v="India"/>
    <s v="Gujarat"/>
    <n v="9658575570"/>
    <x v="1"/>
    <x v="8"/>
    <n v="1180.31"/>
    <n v="7"/>
    <n v="847.73"/>
    <s v="UPI"/>
    <n v="8262.17"/>
    <s v="Medium"/>
    <n v="10.26"/>
    <n v="8262.17"/>
    <s v="Medium"/>
    <n v="10.26"/>
  </r>
  <r>
    <s v="CUST1062"/>
    <x v="1"/>
    <s v="India"/>
    <s v="Gujarat"/>
    <n v="9950273824"/>
    <x v="1"/>
    <x v="14"/>
    <n v="653.35"/>
    <n v="4"/>
    <n v="345.46"/>
    <s v="Credit Card"/>
    <n v="2613.4"/>
    <s v="Low"/>
    <n v="13.22"/>
    <n v="2613.4"/>
    <s v="Low"/>
    <n v="13.22"/>
  </r>
  <r>
    <s v="CUST1063"/>
    <x v="1"/>
    <s v="India"/>
    <s v="Tamil Nadu"/>
    <n v="9898816813"/>
    <x v="2"/>
    <x v="12"/>
    <n v="1881.74"/>
    <n v="4"/>
    <n v="1363.83"/>
    <s v="Debit Card"/>
    <n v="7526.96"/>
    <s v="Medium"/>
    <n v="18.12"/>
    <n v="7526.96"/>
    <s v="Medium"/>
    <n v="18.12"/>
  </r>
  <r>
    <s v="CUST1064"/>
    <x v="3"/>
    <s v="India"/>
    <s v="Rajasthan"/>
    <n v="9571594565"/>
    <x v="1"/>
    <x v="1"/>
    <n v="1206.3499999999999"/>
    <n v="15"/>
    <n v="2801.82"/>
    <s v="UPI"/>
    <n v="18095.25"/>
    <s v="High"/>
    <n v="15.48"/>
    <n v="18095.25"/>
    <s v="High"/>
    <n v="15.48"/>
  </r>
  <r>
    <s v="CUST1065"/>
    <x v="1"/>
    <s v="India"/>
    <s v="Maharashtra"/>
    <n v="9684352160"/>
    <x v="0"/>
    <x v="10"/>
    <n v="1849.95"/>
    <n v="5"/>
    <n v="2111.02"/>
    <s v="Debit Card"/>
    <n v="9249.75"/>
    <s v="Medium"/>
    <n v="22.82"/>
    <n v="9249.75"/>
    <s v="Medium"/>
    <n v="22.82"/>
  </r>
  <r>
    <s v="CUST1066"/>
    <x v="0"/>
    <s v="India"/>
    <s v="West Bengal"/>
    <n v="9845713875"/>
    <x v="2"/>
    <x v="7"/>
    <n v="1896.1"/>
    <n v="5"/>
    <n v="2676.46"/>
    <s v="Debit Card"/>
    <n v="9480.5"/>
    <s v="Medium"/>
    <n v="28.23"/>
    <n v="9480.5"/>
    <s v="Medium"/>
    <n v="28.23"/>
  </r>
  <r>
    <s v="CUST1067"/>
    <x v="1"/>
    <s v="India"/>
    <s v="Tamil Nadu"/>
    <n v="85"/>
    <x v="1"/>
    <x v="8"/>
    <n v="1799.6"/>
    <n v="6"/>
    <n v="1551.79"/>
    <s v="Cash"/>
    <n v="10797.6"/>
    <s v="High"/>
    <n v="14.37"/>
    <n v="10797.599999999999"/>
    <s v="Medium"/>
    <n v="14.37"/>
  </r>
  <r>
    <s v="CUST1068"/>
    <x v="3"/>
    <s v="India"/>
    <s v="Karnataka"/>
    <n v="9304184751"/>
    <x v="1"/>
    <x v="14"/>
    <n v="1330.26"/>
    <n v="2"/>
    <n v="669.54"/>
    <s v="Credit Card"/>
    <n v="2660.52"/>
    <s v="Low"/>
    <n v="25.17"/>
    <n v="2660.52"/>
    <s v="Low"/>
    <n v="25.17"/>
  </r>
  <r>
    <s v="CUST1069"/>
    <x v="3"/>
    <s v="India"/>
    <s v="Rajasthan"/>
    <n v="9141039856"/>
    <x v="2"/>
    <x v="13"/>
    <n v="322.57"/>
    <n v="13"/>
    <n v="684.45"/>
    <s v="Debit Card"/>
    <n v="4193.41"/>
    <s v="Low"/>
    <n v="16.32"/>
    <n v="4193.41"/>
    <s v="Low"/>
    <n v="16.32"/>
  </r>
  <r>
    <s v="CUST1070"/>
    <x v="2"/>
    <s v="India"/>
    <s v="Tamil Nadu"/>
    <n v="9640589740"/>
    <x v="2"/>
    <x v="7"/>
    <n v="1510.41"/>
    <n v="1"/>
    <n v="434.79"/>
    <s v="Net Banking"/>
    <n v="1510.41"/>
    <s v="Low"/>
    <n v="28.79"/>
    <n v="1510.41"/>
    <s v="Low"/>
    <n v="28.79"/>
  </r>
  <r>
    <s v="CUST1071"/>
    <x v="1"/>
    <s v="India"/>
    <s v="Karnataka"/>
    <n v="9406517796"/>
    <x v="0"/>
    <x v="5"/>
    <n v="1085.52"/>
    <n v="4"/>
    <n v="749.57"/>
    <s v="Credit Card"/>
    <n v="4342.08"/>
    <s v="Low"/>
    <n v="17.260000000000002"/>
    <n v="4342.08"/>
    <s v="Low"/>
    <n v="17.260000000000002"/>
  </r>
  <r>
    <s v="CUST1072"/>
    <x v="1"/>
    <s v="India"/>
    <s v="Maharashtra"/>
    <n v="9606169051"/>
    <x v="1"/>
    <x v="1"/>
    <n v="1441.79"/>
    <n v="14"/>
    <n v="3929.03"/>
    <s v="Debit Card"/>
    <n v="20185.060000000001"/>
    <s v="High"/>
    <n v="19.47"/>
    <n v="20185.059999999998"/>
    <s v="High"/>
    <n v="19.47"/>
  </r>
  <r>
    <s v="CUST1073"/>
    <x v="3"/>
    <s v="India"/>
    <s v="Rajasthan"/>
    <n v="9350461925"/>
    <x v="1"/>
    <x v="14"/>
    <n v="686.64"/>
    <n v="8"/>
    <n v="878.07"/>
    <s v="Credit Card"/>
    <n v="5493.12"/>
    <s v="Medium"/>
    <n v="15.98"/>
    <n v="5493.12"/>
    <s v="Low"/>
    <n v="15.98"/>
  </r>
  <r>
    <s v="CUST1074"/>
    <x v="0"/>
    <s v="India"/>
    <s v="West Bengal"/>
    <n v="9996467468"/>
    <x v="0"/>
    <x v="5"/>
    <n v="2830.64"/>
    <n v="6"/>
    <n v="1830.75"/>
    <s v="Credit Card"/>
    <n v="16983.84"/>
    <s v="High"/>
    <n v="10.78"/>
    <n v="16983.84"/>
    <s v="High"/>
    <n v="10.78"/>
  </r>
  <r>
    <s v="CUST1075"/>
    <x v="0"/>
    <s v="India"/>
    <s v="Rajasthan"/>
    <n v="9128345710"/>
    <x v="2"/>
    <x v="11"/>
    <n v="2619.08"/>
    <n v="6"/>
    <n v="4245.2299999999996"/>
    <s v="Net Banking"/>
    <n v="15714.48"/>
    <s v="High"/>
    <n v="27.01"/>
    <n v="15714.48"/>
    <s v="High"/>
    <n v="27.01"/>
  </r>
  <r>
    <s v="CUST1076"/>
    <x v="2"/>
    <s v="India"/>
    <s v="Gujarat"/>
    <n v="9392055351"/>
    <x v="0"/>
    <x v="4"/>
    <n v="503.93"/>
    <n v="11"/>
    <n v="1183.48"/>
    <s v="Cash"/>
    <n v="5543.23"/>
    <s v="Medium"/>
    <n v="21.35"/>
    <n v="5543.2300000000005"/>
    <s v="Low"/>
    <n v="21.35"/>
  </r>
  <r>
    <s v="CUST1077"/>
    <x v="1"/>
    <s v="India"/>
    <s v="Tamil Nadu"/>
    <n v="9980141994"/>
    <x v="1"/>
    <x v="8"/>
    <n v="467.71"/>
    <n v="12"/>
    <n v="1223.23"/>
    <s v="Credit Card"/>
    <n v="5612.52"/>
    <s v="Medium"/>
    <n v="21.79"/>
    <n v="5612.5199999999995"/>
    <s v="Low"/>
    <n v="21.79"/>
  </r>
  <r>
    <s v="CUST1078"/>
    <x v="0"/>
    <s v="India"/>
    <s v="Maharashtra"/>
    <n v="9403999543"/>
    <x v="1"/>
    <x v="6"/>
    <n v="2307.34"/>
    <n v="14"/>
    <n v="3571.15"/>
    <s v="Debit Card"/>
    <n v="32302.76"/>
    <s v="High"/>
    <n v="11.06"/>
    <n v="32302.760000000002"/>
    <s v="High"/>
    <n v="11.06"/>
  </r>
  <r>
    <s v="CUST1079"/>
    <x v="3"/>
    <s v="India"/>
    <s v="Uttar Pradesh"/>
    <n v="9164427200"/>
    <x v="2"/>
    <x v="7"/>
    <n v="1513.57"/>
    <n v="14"/>
    <n v="5761.18"/>
    <s v="Credit Card"/>
    <n v="21189.98"/>
    <s v="High"/>
    <n v="27.19"/>
    <n v="21189.98"/>
    <s v="High"/>
    <n v="27.19"/>
  </r>
  <r>
    <s v="CUST1080"/>
    <x v="3"/>
    <s v="India"/>
    <s v="Maharashtra"/>
    <n v="858947"/>
    <x v="1"/>
    <x v="14"/>
    <n v="2213.4499999999998"/>
    <n v="3"/>
    <n v="867.33"/>
    <s v="Debit Card"/>
    <n v="6640.35"/>
    <s v="Medium"/>
    <n v="13.06"/>
    <n v="6640.3499999999995"/>
    <s v="Low"/>
    <n v="13.06"/>
  </r>
  <r>
    <s v="CUST1081"/>
    <x v="1"/>
    <s v="India"/>
    <s v="Tamil Nadu"/>
    <n v="9789825611"/>
    <x v="0"/>
    <x v="5"/>
    <n v="384.21"/>
    <n v="5"/>
    <n v="354.16"/>
    <s v="Debit Card"/>
    <n v="1921.05"/>
    <s v="Low"/>
    <n v="18.440000000000001"/>
    <n v="1921.05"/>
    <s v="Low"/>
    <n v="18.440000000000001"/>
  </r>
  <r>
    <s v="CUST1082"/>
    <x v="2"/>
    <s v="India"/>
    <s v="Maharashtra"/>
    <n v="9371462183"/>
    <x v="2"/>
    <x v="11"/>
    <n v="498.41"/>
    <n v="7"/>
    <n v="435.36"/>
    <s v="UPI"/>
    <n v="3488.87"/>
    <s v="Low"/>
    <n v="12.48"/>
    <n v="3488.8700000000003"/>
    <s v="Low"/>
    <n v="12.48"/>
  </r>
  <r>
    <s v="CUST1083"/>
    <x v="3"/>
    <s v="India"/>
    <s v="Maharashtra"/>
    <n v="9444893207"/>
    <x v="0"/>
    <x v="5"/>
    <n v="1599.24"/>
    <n v="10"/>
    <n v="4368.75"/>
    <s v="UPI"/>
    <n v="15992.4"/>
    <s v="High"/>
    <n v="27.32"/>
    <n v="15992.4"/>
    <s v="High"/>
    <n v="27.32"/>
  </r>
  <r>
    <s v="CUST1084"/>
    <x v="0"/>
    <s v="India"/>
    <s v="Rajasthan"/>
    <n v="9339358166"/>
    <x v="1"/>
    <x v="3"/>
    <n v="962.07"/>
    <n v="9"/>
    <n v="905.89"/>
    <s v="UPI"/>
    <n v="8658.6299999999992"/>
    <s v="Medium"/>
    <n v="10.46"/>
    <n v="8658.630000000001"/>
    <s v="Medium"/>
    <n v="10.46"/>
  </r>
  <r>
    <s v="CUST1085"/>
    <x v="0"/>
    <s v="India"/>
    <s v="West Bengal"/>
    <n v="9119201960"/>
    <x v="1"/>
    <x v="8"/>
    <n v="1673.22"/>
    <n v="7"/>
    <n v="1935.04"/>
    <s v="Debit Card"/>
    <n v="11712.54"/>
    <s v="High"/>
    <n v="16.52"/>
    <n v="11712.54"/>
    <s v="Medium"/>
    <n v="16.52"/>
  </r>
  <r>
    <s v="CUST1086"/>
    <x v="0"/>
    <s v="India"/>
    <s v="Tamil Nadu"/>
    <n v="9161700373"/>
    <x v="0"/>
    <x v="2"/>
    <n v="791.24"/>
    <n v="4"/>
    <n v="366.17"/>
    <s v="UPI"/>
    <n v="3164.96"/>
    <s v="Low"/>
    <n v="11.57"/>
    <n v="3164.96"/>
    <s v="Low"/>
    <n v="11.57"/>
  </r>
  <r>
    <s v="CUST1087"/>
    <x v="1"/>
    <s v="India"/>
    <s v="Uttar Pradesh"/>
    <n v="9242580997"/>
    <x v="0"/>
    <x v="4"/>
    <n v="1210.8599999999999"/>
    <n v="3"/>
    <n v="698.75"/>
    <s v="UPI"/>
    <n v="3632.58"/>
    <s v="Low"/>
    <n v="19.239999999999998"/>
    <n v="3632.58"/>
    <s v="Low"/>
    <n v="19.239999999999998"/>
  </r>
  <r>
    <s v="CUST1088"/>
    <x v="3"/>
    <s v="India"/>
    <s v="Gujarat"/>
    <n v="9370714466"/>
    <x v="0"/>
    <x v="2"/>
    <n v="619.57000000000005"/>
    <n v="7"/>
    <n v="562.75"/>
    <s v="UPI"/>
    <n v="4336.99"/>
    <s v="Low"/>
    <n v="12.98"/>
    <n v="4336.9900000000007"/>
    <s v="Low"/>
    <n v="12.98"/>
  </r>
  <r>
    <s v="CUST1089"/>
    <x v="0"/>
    <s v="India"/>
    <s v="Maharashtra"/>
    <n v="9427647839"/>
    <x v="2"/>
    <x v="9"/>
    <n v="308.5"/>
    <n v="15"/>
    <n v="802.96"/>
    <s v="Credit Card"/>
    <n v="4627.5"/>
    <s v="Low"/>
    <n v="17.350000000000001"/>
    <n v="4627.5"/>
    <s v="Low"/>
    <n v="17.350000000000001"/>
  </r>
  <r>
    <s v="CUST1090"/>
    <x v="2"/>
    <s v="India"/>
    <s v="Maharashtra"/>
    <n v="9942075195"/>
    <x v="0"/>
    <x v="5"/>
    <n v="1853.37"/>
    <n v="5"/>
    <n v="1661.2"/>
    <s v="Credit Card"/>
    <n v="9266.85"/>
    <s v="Medium"/>
    <n v="17.93"/>
    <n v="9266.8499999999985"/>
    <s v="Medium"/>
    <n v="17.93"/>
  </r>
  <r>
    <s v="CUST1091"/>
    <x v="1"/>
    <s v="India"/>
    <s v="Rajasthan"/>
    <n v="9857569233"/>
    <x v="0"/>
    <x v="10"/>
    <n v="2501.48"/>
    <n v="6"/>
    <n v="4142.5200000000004"/>
    <s v="Net Banking"/>
    <n v="15008.88"/>
    <s v="High"/>
    <n v="27.6"/>
    <n v="15008.880000000001"/>
    <s v="High"/>
    <n v="27.6"/>
  </r>
  <r>
    <s v="CUST1092"/>
    <x v="1"/>
    <s v="India"/>
    <s v="Karnataka"/>
    <n v="9944969047"/>
    <x v="2"/>
    <x v="12"/>
    <n v="2596.13"/>
    <n v="5"/>
    <n v="1453.33"/>
    <s v="Net Banking"/>
    <n v="12980.65"/>
    <s v="High"/>
    <n v="11.2"/>
    <n v="12980.650000000001"/>
    <s v="Medium"/>
    <n v="11.2"/>
  </r>
  <r>
    <s v="CUST1093"/>
    <x v="0"/>
    <s v="India"/>
    <s v="West Bengal"/>
    <n v="56428436"/>
    <x v="2"/>
    <x v="11"/>
    <n v="2209.52"/>
    <n v="6"/>
    <n v="3760.49"/>
    <s v="Net Banking"/>
    <n v="13257.12"/>
    <s v="High"/>
    <n v="28.37"/>
    <n v="13257.119999999999"/>
    <s v="Medium"/>
    <n v="28.37"/>
  </r>
  <r>
    <s v="CUST1094"/>
    <x v="2"/>
    <s v="India"/>
    <s v="Gujarat"/>
    <n v="9705241364"/>
    <x v="1"/>
    <x v="3"/>
    <n v="458.7"/>
    <n v="7"/>
    <n v="839.97"/>
    <s v="Net Banking"/>
    <n v="3210.9"/>
    <s v="Low"/>
    <n v="26.16"/>
    <n v="3210.9"/>
    <s v="Low"/>
    <n v="26.16"/>
  </r>
  <r>
    <s v="CUST1095"/>
    <x v="2"/>
    <s v="India"/>
    <s v="Karnataka"/>
    <n v="9245776255"/>
    <x v="0"/>
    <x v="4"/>
    <n v="833.16"/>
    <n v="12"/>
    <n v="2135.63"/>
    <s v="Net Banking"/>
    <n v="9997.92"/>
    <s v="Medium"/>
    <n v="21.36"/>
    <n v="9997.92"/>
    <s v="Medium"/>
    <n v="21.36"/>
  </r>
  <r>
    <s v="CUST1096"/>
    <x v="2"/>
    <s v="India"/>
    <s v="Uttar Pradesh"/>
    <n v="9881212856"/>
    <x v="0"/>
    <x v="4"/>
    <n v="238.37"/>
    <n v="13"/>
    <n v="586.94000000000005"/>
    <s v="Net Banking"/>
    <n v="3098.81"/>
    <s v="Low"/>
    <n v="18.940000000000001"/>
    <n v="3098.81"/>
    <s v="Low"/>
    <n v="18.940000000000001"/>
  </r>
  <r>
    <s v="CUST1097"/>
    <x v="0"/>
    <s v="India"/>
    <s v="Gujarat"/>
    <n v="9916091858"/>
    <x v="0"/>
    <x v="5"/>
    <n v="820.05"/>
    <n v="3"/>
    <n v="419.41"/>
    <s v="UPI"/>
    <n v="2460.15"/>
    <s v="Low"/>
    <n v="17.05"/>
    <n v="2460.1499999999996"/>
    <s v="Low"/>
    <n v="17.05"/>
  </r>
  <r>
    <s v="CUST1098"/>
    <x v="3"/>
    <s v="India"/>
    <s v="Karnataka"/>
    <n v="9425191872"/>
    <x v="2"/>
    <x v="11"/>
    <n v="2716.33"/>
    <n v="8"/>
    <n v="5513.14"/>
    <s v="Net Banking"/>
    <n v="21730.639999999999"/>
    <s v="High"/>
    <n v="25.37"/>
    <n v="21730.639999999999"/>
    <s v="High"/>
    <n v="25.37"/>
  </r>
  <r>
    <s v="CUST1099"/>
    <x v="3"/>
    <s v="India"/>
    <s v="Uttar Pradesh"/>
    <n v="9459337548"/>
    <x v="0"/>
    <x v="10"/>
    <n v="1918.81"/>
    <n v="1"/>
    <n v="442.75"/>
    <s v="Cash"/>
    <n v="1918.81"/>
    <s v="Low"/>
    <n v="23.07"/>
    <n v="1918.81"/>
    <s v="Low"/>
    <n v="23.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1CC99F-77E1-4306-BBDD-C06C75CC8FF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L12" firstHeaderRow="1" firstDataRow="1" firstDataCol="1"/>
  <pivotFields count="10">
    <pivotField dataField="1" showAll="0"/>
    <pivotField numFmtId="14" showAll="0"/>
    <pivotField axis="axisRow" showAll="0">
      <items count="9">
        <item x="5"/>
        <item x="3"/>
        <item x="6"/>
        <item x="4"/>
        <item x="0"/>
        <item x="7"/>
        <item x="1"/>
        <item x="2"/>
        <item t="default"/>
      </items>
    </pivotField>
    <pivotField showAll="0"/>
    <pivotField showAll="0"/>
    <pivotField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Count of Accident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E7064D-C4C3-46D9-8283-60AC3DD1277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pivotField showAll="0"/>
    <pivotField showAll="0"/>
    <pivotField showAll="0"/>
    <pivotField showAll="0"/>
    <pivotField axis="axisRow" showAll="0">
      <items count="5">
        <item x="1"/>
        <item x="2"/>
        <item x="0"/>
        <item x="3"/>
        <item t="default"/>
      </items>
    </pivotField>
    <pivotField showAll="0"/>
    <pivotField showAll="0"/>
  </pivotFields>
  <rowFields count="1">
    <field x="7"/>
  </rowFields>
  <rowItems count="5">
    <i>
      <x/>
    </i>
    <i>
      <x v="1"/>
    </i>
    <i>
      <x v="2"/>
    </i>
    <i>
      <x v="3"/>
    </i>
    <i t="grand">
      <x/>
    </i>
  </rowItems>
  <colItems count="1">
    <i/>
  </colItems>
  <dataFields count="1">
    <dataField name="Count of Accident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1C9134-7549-42E8-A5DC-FD5144737B3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22:L27" firstHeaderRow="1" firstDataRow="1" firstDataCol="1"/>
  <pivotFields count="10">
    <pivotField dataField="1" showAll="0"/>
    <pivotField numFmtId="14" showAll="0"/>
    <pivotField showAll="0"/>
    <pivotField showAll="0"/>
    <pivotField showAll="0"/>
    <pivotField axis="axisRow" showAll="0">
      <items count="5">
        <item x="0"/>
        <item x="1"/>
        <item x="3"/>
        <item x="2"/>
        <item t="default"/>
      </items>
    </pivotField>
    <pivotField showAll="0"/>
    <pivotField showAll="0"/>
    <pivotField showAll="0"/>
    <pivotField showAll="0"/>
  </pivotFields>
  <rowFields count="1">
    <field x="5"/>
  </rowFields>
  <rowItems count="5">
    <i>
      <x/>
    </i>
    <i>
      <x v="1"/>
    </i>
    <i>
      <x v="2"/>
    </i>
    <i>
      <x v="3"/>
    </i>
    <i t="grand">
      <x/>
    </i>
  </rowItems>
  <colItems count="1">
    <i/>
  </colItems>
  <dataFields count="1">
    <dataField name="Count of Accident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1A3E74-B3D9-40D8-A84B-D22EDDC3945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U3:V10" firstHeaderRow="1" firstDataRow="1" firstDataCol="1"/>
  <pivotFields count="10">
    <pivotField dataField="1" showAll="0"/>
    <pivotField numFmtId="14" showAll="0"/>
    <pivotField showAll="0"/>
    <pivotField showAll="0"/>
    <pivotField showAll="0"/>
    <pivotField showAll="0"/>
    <pivotField showAll="0"/>
    <pivotField showAll="0"/>
    <pivotField axis="axisRow" showAll="0">
      <items count="7">
        <item x="2"/>
        <item x="1"/>
        <item x="4"/>
        <item x="0"/>
        <item x="5"/>
        <item x="3"/>
        <item t="default"/>
      </items>
    </pivotField>
    <pivotField showAll="0"/>
  </pivotFields>
  <rowFields count="1">
    <field x="8"/>
  </rowFields>
  <rowItems count="7">
    <i>
      <x/>
    </i>
    <i>
      <x v="1"/>
    </i>
    <i>
      <x v="2"/>
    </i>
    <i>
      <x v="3"/>
    </i>
    <i>
      <x v="4"/>
    </i>
    <i>
      <x v="5"/>
    </i>
    <i t="grand">
      <x/>
    </i>
  </rowItems>
  <colItems count="1">
    <i/>
  </colItems>
  <dataFields count="1">
    <dataField name="Count of Accident ID" fld="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2BE5D0-38CC-4B73-B24A-2DD25156FBF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B26" firstHeaderRow="1" firstDataRow="1" firstDataCol="1"/>
  <pivotFields count="1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pivotField showAll="0"/>
    <pivotField axis="axisRow" showAll="0">
      <items count="7">
        <item x="0"/>
        <item x="1"/>
        <item x="5"/>
        <item x="3"/>
        <item x="4"/>
        <item x="2"/>
        <item t="default"/>
      </items>
    </pivotField>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Count of Accident ID" fld="0"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D118F8-3ADC-4845-A30C-E9DC81D448E0}"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4:U29" firstHeaderRow="0" firstDataRow="1" firstDataCol="1"/>
  <pivotFields count="17">
    <pivotField showAll="0"/>
    <pivotField axis="axisRow" showAll="0">
      <items count="5">
        <item x="2"/>
        <item x="3"/>
        <item x="1"/>
        <item x="0"/>
        <item t="default"/>
      </items>
    </pivotField>
    <pivotField showAll="0"/>
    <pivotField showAll="0"/>
    <pivotField numFmtId="49"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s>
  <rowFields count="1">
    <field x="1"/>
  </rowFields>
  <rowItems count="5">
    <i>
      <x/>
    </i>
    <i>
      <x v="1"/>
    </i>
    <i>
      <x v="2"/>
    </i>
    <i>
      <x v="3"/>
    </i>
    <i t="grand">
      <x/>
    </i>
  </rowItems>
  <colFields count="1">
    <field x="-2"/>
  </colFields>
  <colItems count="2">
    <i>
      <x/>
    </i>
    <i i="1">
      <x v="1"/>
    </i>
  </colItems>
  <dataFields count="2">
    <dataField name="Sum of Total amount" fld="14" baseField="0" baseItem="0"/>
    <dataField name="Sum of Profit" fld="9" baseField="0" baseItem="0"/>
  </dataField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CF6BED-8C1D-4A85-9A8E-4A73A59C9853}"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15:T19" firstHeaderRow="1" firstDataRow="1" firstDataCol="1"/>
  <pivotFields count="17">
    <pivotField showAll="0"/>
    <pivotField showAll="0"/>
    <pivotField showAll="0"/>
    <pivotField showAll="0"/>
    <pivotField numFmtId="49" showAll="0"/>
    <pivotField axis="axisRow" showAll="0">
      <items count="4">
        <item x="0"/>
        <item x="2"/>
        <item x="1"/>
        <item t="default"/>
      </items>
    </pivotField>
    <pivotField showAll="0">
      <items count="16">
        <item x="8"/>
        <item x="6"/>
        <item x="14"/>
        <item x="5"/>
        <item x="11"/>
        <item x="10"/>
        <item x="4"/>
        <item x="12"/>
        <item x="9"/>
        <item x="0"/>
        <item x="13"/>
        <item x="3"/>
        <item x="1"/>
        <item x="7"/>
        <item x="2"/>
        <item t="default"/>
      </items>
    </pivotField>
    <pivotField showAll="0"/>
    <pivotField dataField="1"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Average of Units Sold" fld="8" subtotal="average" baseField="6" baseItem="0"/>
  </dataField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D5EBF7EF-248D-4D47-B3E9-D5EF486781E6}" sourceName="Severity">
  <pivotTables>
    <pivotTable tabId="5" name="PivotTable1"/>
  </pivotTables>
  <data>
    <tabular pivotCacheId="114951238">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D026E7F8-FE2E-48E3-B93D-E1A88D11F594}" sourceName="Location">
  <pivotTables>
    <pivotTable tabId="5" name="PivotTable2"/>
  </pivotTables>
  <data>
    <tabular pivotCacheId="114951238">
      <items count="8">
        <i x="5" s="1"/>
        <i x="3" s="1"/>
        <i x="6" s="1"/>
        <i x="4" s="1"/>
        <i x="0" s="1"/>
        <i x="7"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use" xr10:uid="{9A2BE949-04D4-47D5-9C48-458A6A8B96B0}" sourceName="Cause">
  <pivotTables>
    <pivotTable tabId="5" name="PivotTable5"/>
  </pivotTables>
  <data>
    <tabular pivotCacheId="114951238">
      <items count="6">
        <i x="2" s="1"/>
        <i x="1" s="1"/>
        <i x="4" s="1"/>
        <i x="0" s="1"/>
        <i x="5"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31338821-F761-48B7-A156-7E498BB25492}" sourceName="Vehicle Type">
  <pivotTables>
    <pivotTable tabId="5" name="PivotTable3"/>
  </pivotTables>
  <data>
    <tabular pivotCacheId="114951238">
      <items count="6">
        <i x="0" s="1"/>
        <i x="1" s="1"/>
        <i x="5" s="1"/>
        <i x="3"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 xr10:uid="{17BDCBB1-2DE8-4129-9F79-BC112F040BB7}" sourceName="Weather Condition">
  <pivotTables>
    <pivotTable tabId="5" name="PivotTable6"/>
  </pivotTables>
  <data>
    <tabular pivotCacheId="114951238">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verity" xr10:uid="{2FACB059-1289-48AA-BFD6-CF29E22BC113}" cache="Slicer_Severity" caption="Severity" rowHeight="234950"/>
  <slicer name="Location" xr10:uid="{6D0A2AAF-C8D9-4E8F-B5CD-DC32E10DFD8C}" cache="Slicer_Location" caption="Location" columnCount="2" rowHeight="234950"/>
  <slicer name="Cause" xr10:uid="{F6F21CB6-963E-46B6-9BAE-68E7DA5D37D2}" cache="Slicer_Cause" caption="Cause" rowHeight="234950"/>
  <slicer name="Vehicle Type" xr10:uid="{4C45325F-AA83-4076-89CA-BC9F98300868}" cache="Slicer_Vehicle_Type" caption="Vehicle Type" rowHeight="234950"/>
  <slicer name="Weather Condition" xr10:uid="{97F871C7-6DCB-4A5C-ACB8-1CE9B65242A6}" cache="Slicer_Weather_Condition" caption="Weather Condi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0AF7EA-5661-4633-A991-EB3C9BD949C5}" name="Table1" displayName="Table1" ref="A3:J103" totalsRowShown="0" headerRowDxfId="28" dataDxfId="26" headerRowBorderDxfId="27" tableBorderDxfId="25" totalsRowBorderDxfId="24">
  <autoFilter ref="A3:J103" xr:uid="{4C0AF7EA-5661-4633-A991-EB3C9BD949C5}"/>
  <tableColumns count="10">
    <tableColumn id="1" xr3:uid="{6E835477-60EF-4E6D-9939-BED33973113A}" name="Accident ID" dataDxfId="23"/>
    <tableColumn id="2" xr3:uid="{48C70F0C-7F86-47B5-8047-CEF239414B67}" name="Date" dataDxfId="22"/>
    <tableColumn id="3" xr3:uid="{C47634DD-9540-4EDD-87B2-D1D7D065D9A0}" name="Location" dataDxfId="21"/>
    <tableColumn id="4" xr3:uid="{C788E9F1-F9EE-494F-B9B6-A4D8DC6C118F}" name="Accident Type" dataDxfId="20"/>
    <tableColumn id="5" xr3:uid="{1F9CBEA5-DFA2-4939-851E-F8F562262EF5}" name="Vehicle Type" dataDxfId="19"/>
    <tableColumn id="6" xr3:uid="{C56371B6-1D8F-4E0A-8001-9F3C07558FCC}" name="Weather Condition" dataDxfId="18"/>
    <tableColumn id="7" xr3:uid="{8D6028C6-E8A1-4F25-8711-F3BE161475B1}" name="Road Condition" dataDxfId="17"/>
    <tableColumn id="8" xr3:uid="{6195D663-612E-4148-989D-12923DE75ABB}" name="Severity" dataDxfId="16"/>
    <tableColumn id="9" xr3:uid="{6CF3D12C-EA13-4278-8AC1-5211D0F6CCF1}" name="Cause" dataDxfId="15"/>
    <tableColumn id="10" xr3:uid="{A9363C43-B45F-4B31-8C97-BDCEC84A192C}" name="Casualties" dataDxfId="14"/>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A3F95-1DA8-4507-8CEB-E47C77C16246}">
  <sheetPr codeName="Sheet1"/>
  <dimension ref="A2:M74"/>
  <sheetViews>
    <sheetView showGridLines="0" zoomScale="83" workbookViewId="0">
      <selection activeCell="N75" sqref="N75"/>
    </sheetView>
  </sheetViews>
  <sheetFormatPr defaultRowHeight="14.4"/>
  <cols>
    <col min="2" max="2" width="11.21875" customWidth="1"/>
  </cols>
  <sheetData>
    <row r="2" spans="1:3">
      <c r="A2" t="s">
        <v>0</v>
      </c>
    </row>
    <row r="3" spans="1:3">
      <c r="A3" s="1" t="s">
        <v>1</v>
      </c>
      <c r="C3" t="s">
        <v>2</v>
      </c>
    </row>
    <row r="4" spans="1:3">
      <c r="A4" t="s">
        <v>3</v>
      </c>
    </row>
    <row r="5" spans="1:3">
      <c r="A5" s="1" t="s">
        <v>4</v>
      </c>
    </row>
    <row r="7" spans="1:3">
      <c r="A7" s="1" t="s">
        <v>5</v>
      </c>
      <c r="C7" t="s">
        <v>2</v>
      </c>
    </row>
    <row r="8" spans="1:3">
      <c r="A8" t="s">
        <v>6</v>
      </c>
    </row>
    <row r="9" spans="1:3">
      <c r="A9" s="1" t="s">
        <v>7</v>
      </c>
    </row>
    <row r="11" spans="1:3">
      <c r="A11" s="1" t="s">
        <v>8</v>
      </c>
    </row>
    <row r="12" spans="1:3">
      <c r="A12" t="s">
        <v>9</v>
      </c>
    </row>
    <row r="13" spans="1:3">
      <c r="A13" s="1" t="s">
        <v>10</v>
      </c>
    </row>
    <row r="16" spans="1:3">
      <c r="A16" t="s">
        <v>11</v>
      </c>
    </row>
    <row r="17" spans="1:13">
      <c r="A17" t="s">
        <v>12</v>
      </c>
      <c r="M17" t="s">
        <v>13</v>
      </c>
    </row>
    <row r="18" spans="1:13">
      <c r="A18" t="s">
        <v>14</v>
      </c>
    </row>
    <row r="20" spans="1:13">
      <c r="A20" t="s">
        <v>15</v>
      </c>
    </row>
    <row r="21" spans="1:13">
      <c r="A21" t="s">
        <v>16</v>
      </c>
    </row>
    <row r="22" spans="1:13">
      <c r="A22" t="s">
        <v>17</v>
      </c>
    </row>
    <row r="23" spans="1:13">
      <c r="A23" t="s">
        <v>18</v>
      </c>
    </row>
    <row r="26" spans="1:13">
      <c r="A26" t="s">
        <v>19</v>
      </c>
    </row>
    <row r="27" spans="1:13">
      <c r="A27" s="1" t="s">
        <v>20</v>
      </c>
    </row>
    <row r="28" spans="1:13">
      <c r="A28" t="s">
        <v>21</v>
      </c>
    </row>
    <row r="30" spans="1:13">
      <c r="A30" t="s">
        <v>22</v>
      </c>
    </row>
    <row r="31" spans="1:13">
      <c r="A31" s="1" t="s">
        <v>25</v>
      </c>
    </row>
    <row r="32" spans="1:13">
      <c r="A32" t="s">
        <v>23</v>
      </c>
    </row>
    <row r="33" spans="1:1">
      <c r="A33" s="1" t="s">
        <v>24</v>
      </c>
    </row>
    <row r="35" spans="1:1">
      <c r="A35" s="1" t="s">
        <v>26</v>
      </c>
    </row>
    <row r="36" spans="1:1">
      <c r="A36" t="s">
        <v>27</v>
      </c>
    </row>
    <row r="37" spans="1:1">
      <c r="A37" s="1" t="s">
        <v>28</v>
      </c>
    </row>
    <row r="39" spans="1:1">
      <c r="A39" s="1" t="s">
        <v>29</v>
      </c>
    </row>
    <row r="40" spans="1:1">
      <c r="A40" t="s">
        <v>30</v>
      </c>
    </row>
    <row r="41" spans="1:1">
      <c r="A41" s="1" t="s">
        <v>31</v>
      </c>
    </row>
    <row r="43" spans="1:1">
      <c r="A43" s="1" t="s">
        <v>32</v>
      </c>
    </row>
    <row r="44" spans="1:1">
      <c r="A44" t="s">
        <v>33</v>
      </c>
    </row>
    <row r="45" spans="1:1">
      <c r="A45" s="1" t="s">
        <v>34</v>
      </c>
    </row>
    <row r="47" spans="1:1">
      <c r="A47" s="1" t="s">
        <v>35</v>
      </c>
    </row>
    <row r="48" spans="1:1">
      <c r="A48" t="s">
        <v>36</v>
      </c>
    </row>
    <row r="49" spans="1:1">
      <c r="A49" s="1" t="s">
        <v>37</v>
      </c>
    </row>
    <row r="52" spans="1:1">
      <c r="A52" t="s">
        <v>38</v>
      </c>
    </row>
    <row r="53" spans="1:1">
      <c r="A53" s="1" t="s">
        <v>39</v>
      </c>
    </row>
    <row r="54" spans="1:1">
      <c r="A54" t="s">
        <v>40</v>
      </c>
    </row>
    <row r="56" spans="1:1">
      <c r="A56" t="s">
        <v>41</v>
      </c>
    </row>
    <row r="57" spans="1:1">
      <c r="A57" t="s">
        <v>42</v>
      </c>
    </row>
    <row r="58" spans="1:1">
      <c r="A58" t="s">
        <v>43</v>
      </c>
    </row>
    <row r="59" spans="1:1">
      <c r="A59" t="s">
        <v>44</v>
      </c>
    </row>
    <row r="62" spans="1:1">
      <c r="A62" t="s">
        <v>45</v>
      </c>
    </row>
    <row r="63" spans="1:1">
      <c r="A63" s="1" t="s">
        <v>46</v>
      </c>
    </row>
    <row r="64" spans="1:1">
      <c r="A64" s="1" t="s">
        <v>47</v>
      </c>
    </row>
    <row r="66" spans="1:1">
      <c r="A66" s="1" t="s">
        <v>48</v>
      </c>
    </row>
    <row r="67" spans="1:1">
      <c r="A67" t="s">
        <v>49</v>
      </c>
    </row>
    <row r="69" spans="1:1">
      <c r="A69" t="s">
        <v>50</v>
      </c>
    </row>
    <row r="70" spans="1:1">
      <c r="A70" t="s">
        <v>51</v>
      </c>
    </row>
    <row r="72" spans="1:1">
      <c r="A72" t="s">
        <v>52</v>
      </c>
    </row>
    <row r="73" spans="1:1">
      <c r="A73" t="s">
        <v>53</v>
      </c>
    </row>
    <row r="74" spans="1:1">
      <c r="A74" t="s">
        <v>54</v>
      </c>
    </row>
  </sheetData>
  <dataValidations count="2">
    <dataValidation type="list" allowBlank="1" showInputMessage="1" showErrorMessage="1" sqref="E4" xr:uid="{08A398E0-DFFF-4B6C-AD60-F458AAAF9E64}">
      <formula1>$G$6</formula1>
    </dataValidation>
    <dataValidation type="list" allowBlank="1" showInputMessage="1" showErrorMessage="1" sqref="F4 G8" xr:uid="{13491ACE-8996-4A63-ADF7-19DF0A9BE445}">
      <formula1>$F$4:$F$8</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31E30-14A8-4830-B09E-351CE502AD89}">
  <sheetPr codeName="Sheet2"/>
  <dimension ref="A1:G11"/>
  <sheetViews>
    <sheetView zoomScale="118" workbookViewId="0">
      <selection activeCell="D20" sqref="D20"/>
    </sheetView>
  </sheetViews>
  <sheetFormatPr defaultRowHeight="14.4"/>
  <cols>
    <col min="2" max="2" width="15" bestFit="1" customWidth="1"/>
    <col min="3" max="3" width="11.33203125" bestFit="1" customWidth="1"/>
    <col min="4" max="4" width="16.88671875" bestFit="1" customWidth="1"/>
    <col min="5" max="5" width="18.88671875" bestFit="1" customWidth="1"/>
    <col min="7" max="7" width="10.44140625" bestFit="1" customWidth="1"/>
  </cols>
  <sheetData>
    <row r="1" spans="1:7">
      <c r="A1" t="s">
        <v>55</v>
      </c>
    </row>
    <row r="3" spans="1:7">
      <c r="A3" t="s">
        <v>56</v>
      </c>
      <c r="B3" t="s">
        <v>57</v>
      </c>
      <c r="C3" t="s">
        <v>58</v>
      </c>
      <c r="D3" t="s">
        <v>59</v>
      </c>
      <c r="E3" t="s">
        <v>60</v>
      </c>
      <c r="G3" s="2"/>
    </row>
    <row r="4" spans="1:7">
      <c r="A4" t="s">
        <v>61</v>
      </c>
      <c r="B4" t="s">
        <v>62</v>
      </c>
      <c r="C4" s="2">
        <v>43266</v>
      </c>
      <c r="D4">
        <f ca="1">DATEDIF(C4,TODAY(),"Y")</f>
        <v>7</v>
      </c>
      <c r="E4">
        <f ca="1">DATEDIF(C4,TODAY(),"YM")</f>
        <v>6</v>
      </c>
    </row>
    <row r="5" spans="1:7">
      <c r="A5" t="s">
        <v>63</v>
      </c>
      <c r="B5" t="s">
        <v>64</v>
      </c>
      <c r="C5" s="2">
        <v>43831</v>
      </c>
      <c r="D5">
        <f t="shared" ref="D5:D11" ca="1" si="0">DATEDIF(C5,TODAY(),"Y")</f>
        <v>6</v>
      </c>
      <c r="E5">
        <f t="shared" ref="E5:E11" ca="1" si="1">DATEDIF(C5,TODAY(),"YM")</f>
        <v>0</v>
      </c>
    </row>
    <row r="6" spans="1:7">
      <c r="A6" t="s">
        <v>65</v>
      </c>
      <c r="B6" t="s">
        <v>66</v>
      </c>
      <c r="C6" s="2">
        <v>43534</v>
      </c>
      <c r="D6">
        <f t="shared" ca="1" si="0"/>
        <v>6</v>
      </c>
      <c r="E6">
        <f t="shared" ca="1" si="1"/>
        <v>9</v>
      </c>
    </row>
    <row r="7" spans="1:7">
      <c r="A7" t="s">
        <v>67</v>
      </c>
      <c r="B7" t="s">
        <v>68</v>
      </c>
      <c r="C7" s="2">
        <v>44402</v>
      </c>
      <c r="D7">
        <f t="shared" ca="1" si="0"/>
        <v>4</v>
      </c>
      <c r="E7">
        <f t="shared" ca="1" si="1"/>
        <v>5</v>
      </c>
    </row>
    <row r="8" spans="1:7">
      <c r="A8" t="s">
        <v>69</v>
      </c>
      <c r="B8" t="s">
        <v>70</v>
      </c>
      <c r="C8" s="2">
        <v>43013</v>
      </c>
      <c r="D8">
        <f t="shared" ca="1" si="0"/>
        <v>8</v>
      </c>
      <c r="E8">
        <f t="shared" ca="1" si="1"/>
        <v>3</v>
      </c>
    </row>
    <row r="9" spans="1:7">
      <c r="A9" t="s">
        <v>71</v>
      </c>
      <c r="B9" t="s">
        <v>72</v>
      </c>
      <c r="C9" s="2">
        <v>44612</v>
      </c>
      <c r="D9">
        <f t="shared" ca="1" si="0"/>
        <v>3</v>
      </c>
      <c r="E9">
        <f t="shared" ca="1" si="1"/>
        <v>10</v>
      </c>
    </row>
    <row r="10" spans="1:7">
      <c r="A10" t="s">
        <v>73</v>
      </c>
      <c r="B10" t="s">
        <v>74</v>
      </c>
      <c r="C10" s="2">
        <v>42705</v>
      </c>
      <c r="D10">
        <f t="shared" ca="1" si="0"/>
        <v>9</v>
      </c>
      <c r="E10">
        <f t="shared" ca="1" si="1"/>
        <v>1</v>
      </c>
    </row>
    <row r="11" spans="1:7">
      <c r="A11" t="s">
        <v>75</v>
      </c>
      <c r="B11" t="s">
        <v>76</v>
      </c>
      <c r="C11" s="2">
        <v>45156</v>
      </c>
      <c r="D11">
        <f t="shared" ca="1" si="0"/>
        <v>2</v>
      </c>
      <c r="E11">
        <f t="shared" ca="1" si="1"/>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89062-2FDD-4975-9EAF-48F2E041E9AC}">
  <sheetPr codeName="Sheet3"/>
  <dimension ref="A1:J103"/>
  <sheetViews>
    <sheetView zoomScale="66" workbookViewId="0">
      <selection activeCell="G13" sqref="G13"/>
    </sheetView>
  </sheetViews>
  <sheetFormatPr defaultRowHeight="14.4"/>
  <cols>
    <col min="1" max="1" width="12.77734375" customWidth="1"/>
    <col min="2" max="2" width="15.77734375" customWidth="1"/>
    <col min="3" max="3" width="14.109375" customWidth="1"/>
    <col min="4" max="4" width="15.21875" customWidth="1"/>
    <col min="5" max="5" width="13.88671875" customWidth="1"/>
    <col min="6" max="6" width="19.33203125" customWidth="1"/>
    <col min="7" max="7" width="16.44140625" customWidth="1"/>
    <col min="8" max="8" width="11.21875" customWidth="1"/>
    <col min="9" max="9" width="15.21875" customWidth="1"/>
    <col min="10" max="10" width="17.6640625" customWidth="1"/>
    <col min="11" max="11" width="12.5546875" bestFit="1" customWidth="1"/>
    <col min="12" max="12" width="15.44140625" bestFit="1" customWidth="1"/>
    <col min="13" max="13" width="18.5546875" bestFit="1" customWidth="1"/>
  </cols>
  <sheetData>
    <row r="1" spans="1:10">
      <c r="A1" t="s">
        <v>77</v>
      </c>
    </row>
    <row r="3" spans="1:10" ht="15" thickBot="1">
      <c r="A3" s="7" t="s">
        <v>78</v>
      </c>
      <c r="B3" s="8" t="s">
        <v>79</v>
      </c>
      <c r="C3" s="8" t="s">
        <v>80</v>
      </c>
      <c r="D3" s="8" t="s">
        <v>81</v>
      </c>
      <c r="E3" s="8" t="s">
        <v>82</v>
      </c>
      <c r="F3" s="8" t="s">
        <v>83</v>
      </c>
      <c r="G3" s="8" t="s">
        <v>84</v>
      </c>
      <c r="H3" s="8" t="s">
        <v>85</v>
      </c>
      <c r="I3" s="8" t="s">
        <v>86</v>
      </c>
      <c r="J3" s="9" t="s">
        <v>87</v>
      </c>
    </row>
    <row r="4" spans="1:10" ht="15" thickBot="1">
      <c r="A4" s="5" t="s">
        <v>88</v>
      </c>
      <c r="B4" s="4">
        <v>45292</v>
      </c>
      <c r="C4" s="3" t="s">
        <v>89</v>
      </c>
      <c r="D4" s="3" t="s">
        <v>90</v>
      </c>
      <c r="E4" s="3" t="s">
        <v>91</v>
      </c>
      <c r="F4" s="3" t="s">
        <v>92</v>
      </c>
      <c r="G4" s="3" t="s">
        <v>93</v>
      </c>
      <c r="H4" s="3" t="s">
        <v>94</v>
      </c>
      <c r="I4" s="3" t="s">
        <v>95</v>
      </c>
      <c r="J4" s="6">
        <v>0</v>
      </c>
    </row>
    <row r="5" spans="1:10" ht="27.6" thickBot="1">
      <c r="A5" s="5" t="s">
        <v>96</v>
      </c>
      <c r="B5" s="4">
        <v>45380</v>
      </c>
      <c r="C5" s="3" t="s">
        <v>97</v>
      </c>
      <c r="D5" s="3" t="s">
        <v>90</v>
      </c>
      <c r="E5" s="3" t="s">
        <v>91</v>
      </c>
      <c r="F5" s="3" t="s">
        <v>98</v>
      </c>
      <c r="G5" s="3" t="s">
        <v>99</v>
      </c>
      <c r="H5" s="3" t="s">
        <v>94</v>
      </c>
      <c r="I5" s="3" t="s">
        <v>100</v>
      </c>
      <c r="J5" s="6">
        <v>0</v>
      </c>
    </row>
    <row r="6" spans="1:10" ht="27.6" thickBot="1">
      <c r="A6" s="5" t="s">
        <v>101</v>
      </c>
      <c r="B6" s="4">
        <v>45296</v>
      </c>
      <c r="C6" s="3" t="s">
        <v>97</v>
      </c>
      <c r="D6" s="3" t="s">
        <v>90</v>
      </c>
      <c r="E6" s="3" t="s">
        <v>102</v>
      </c>
      <c r="F6" s="3" t="s">
        <v>103</v>
      </c>
      <c r="G6" s="3" t="s">
        <v>104</v>
      </c>
      <c r="H6" s="3" t="s">
        <v>105</v>
      </c>
      <c r="I6" s="3" t="s">
        <v>95</v>
      </c>
      <c r="J6" s="6">
        <v>3</v>
      </c>
    </row>
    <row r="7" spans="1:10" ht="15" thickBot="1">
      <c r="A7" s="5" t="s">
        <v>106</v>
      </c>
      <c r="B7" s="4">
        <v>45445</v>
      </c>
      <c r="C7" s="3" t="s">
        <v>107</v>
      </c>
      <c r="D7" s="3" t="s">
        <v>108</v>
      </c>
      <c r="E7" s="3" t="s">
        <v>109</v>
      </c>
      <c r="F7" s="3" t="s">
        <v>92</v>
      </c>
      <c r="G7" s="3" t="s">
        <v>93</v>
      </c>
      <c r="H7" s="3" t="s">
        <v>105</v>
      </c>
      <c r="I7" s="3" t="s">
        <v>110</v>
      </c>
      <c r="J7" s="6">
        <v>4</v>
      </c>
    </row>
    <row r="8" spans="1:10" ht="15" thickBot="1">
      <c r="A8" s="5" t="s">
        <v>111</v>
      </c>
      <c r="B8" s="4">
        <v>45350</v>
      </c>
      <c r="C8" s="3" t="s">
        <v>112</v>
      </c>
      <c r="D8" s="3" t="s">
        <v>113</v>
      </c>
      <c r="E8" s="3" t="s">
        <v>91</v>
      </c>
      <c r="F8" s="3" t="s">
        <v>92</v>
      </c>
      <c r="G8" s="3" t="s">
        <v>99</v>
      </c>
      <c r="H8" s="3" t="s">
        <v>94</v>
      </c>
      <c r="I8" s="3" t="s">
        <v>114</v>
      </c>
      <c r="J8" s="6">
        <v>0</v>
      </c>
    </row>
    <row r="9" spans="1:10" ht="15" thickBot="1">
      <c r="A9" s="5" t="s">
        <v>115</v>
      </c>
      <c r="B9" s="4">
        <v>45399</v>
      </c>
      <c r="C9" s="3" t="s">
        <v>112</v>
      </c>
      <c r="D9" s="3" t="s">
        <v>113</v>
      </c>
      <c r="E9" s="3" t="s">
        <v>116</v>
      </c>
      <c r="F9" s="3" t="s">
        <v>117</v>
      </c>
      <c r="G9" s="3" t="s">
        <v>99</v>
      </c>
      <c r="H9" s="3" t="s">
        <v>118</v>
      </c>
      <c r="I9" s="3" t="s">
        <v>119</v>
      </c>
      <c r="J9" s="6">
        <v>4</v>
      </c>
    </row>
    <row r="10" spans="1:10" ht="15" thickBot="1">
      <c r="A10" s="5" t="s">
        <v>120</v>
      </c>
      <c r="B10" s="4">
        <v>45338</v>
      </c>
      <c r="C10" s="3" t="s">
        <v>121</v>
      </c>
      <c r="D10" s="3" t="s">
        <v>113</v>
      </c>
      <c r="E10" s="3" t="s">
        <v>116</v>
      </c>
      <c r="F10" s="3" t="s">
        <v>117</v>
      </c>
      <c r="G10" s="3" t="s">
        <v>93</v>
      </c>
      <c r="H10" s="3" t="s">
        <v>118</v>
      </c>
      <c r="I10" s="3" t="s">
        <v>122</v>
      </c>
      <c r="J10" s="6">
        <v>2</v>
      </c>
    </row>
    <row r="11" spans="1:10" ht="15" thickBot="1">
      <c r="A11" s="5" t="s">
        <v>123</v>
      </c>
      <c r="B11" s="4">
        <v>45369</v>
      </c>
      <c r="C11" s="3" t="s">
        <v>89</v>
      </c>
      <c r="D11" s="3" t="s">
        <v>90</v>
      </c>
      <c r="E11" s="3" t="s">
        <v>116</v>
      </c>
      <c r="F11" s="3" t="s">
        <v>98</v>
      </c>
      <c r="G11" s="3" t="s">
        <v>124</v>
      </c>
      <c r="H11" s="3" t="s">
        <v>94</v>
      </c>
      <c r="I11" s="3" t="s">
        <v>122</v>
      </c>
      <c r="J11" s="6">
        <v>5</v>
      </c>
    </row>
    <row r="12" spans="1:10" ht="27.6" thickBot="1">
      <c r="A12" s="5" t="s">
        <v>125</v>
      </c>
      <c r="B12" s="4">
        <v>45425</v>
      </c>
      <c r="C12" s="3" t="s">
        <v>97</v>
      </c>
      <c r="D12" s="3" t="s">
        <v>108</v>
      </c>
      <c r="E12" s="3" t="s">
        <v>116</v>
      </c>
      <c r="F12" s="3" t="s">
        <v>103</v>
      </c>
      <c r="G12" s="3" t="s">
        <v>104</v>
      </c>
      <c r="H12" s="3" t="s">
        <v>118</v>
      </c>
      <c r="I12" s="3" t="s">
        <v>114</v>
      </c>
      <c r="J12" s="6">
        <v>2</v>
      </c>
    </row>
    <row r="13" spans="1:10" ht="27.6" thickBot="1">
      <c r="A13" s="5" t="s">
        <v>126</v>
      </c>
      <c r="B13" s="4">
        <v>45307</v>
      </c>
      <c r="C13" s="3" t="s">
        <v>127</v>
      </c>
      <c r="D13" s="3" t="s">
        <v>108</v>
      </c>
      <c r="E13" s="3" t="s">
        <v>128</v>
      </c>
      <c r="F13" s="3" t="s">
        <v>92</v>
      </c>
      <c r="G13" s="3" t="s">
        <v>104</v>
      </c>
      <c r="H13" s="3" t="s">
        <v>129</v>
      </c>
      <c r="I13" s="3" t="s">
        <v>122</v>
      </c>
      <c r="J13" s="6">
        <v>5</v>
      </c>
    </row>
    <row r="14" spans="1:10" ht="15" thickBot="1">
      <c r="A14" s="5" t="s">
        <v>130</v>
      </c>
      <c r="B14" s="4">
        <v>45299</v>
      </c>
      <c r="C14" s="3" t="s">
        <v>107</v>
      </c>
      <c r="D14" s="3" t="s">
        <v>131</v>
      </c>
      <c r="E14" s="3" t="s">
        <v>91</v>
      </c>
      <c r="F14" s="3" t="s">
        <v>92</v>
      </c>
      <c r="G14" s="3" t="s">
        <v>99</v>
      </c>
      <c r="H14" s="3" t="s">
        <v>105</v>
      </c>
      <c r="I14" s="3" t="s">
        <v>95</v>
      </c>
      <c r="J14" s="6">
        <v>0</v>
      </c>
    </row>
    <row r="15" spans="1:10" ht="27.6" thickBot="1">
      <c r="A15" s="5" t="s">
        <v>132</v>
      </c>
      <c r="B15" s="4">
        <v>45468</v>
      </c>
      <c r="C15" s="3" t="s">
        <v>127</v>
      </c>
      <c r="D15" s="3" t="s">
        <v>133</v>
      </c>
      <c r="E15" s="3" t="s">
        <v>116</v>
      </c>
      <c r="F15" s="3" t="s">
        <v>92</v>
      </c>
      <c r="G15" s="3" t="s">
        <v>104</v>
      </c>
      <c r="H15" s="3" t="s">
        <v>129</v>
      </c>
      <c r="I15" s="3" t="s">
        <v>95</v>
      </c>
      <c r="J15" s="6">
        <v>3</v>
      </c>
    </row>
    <row r="16" spans="1:10" ht="15" thickBot="1">
      <c r="A16" s="5" t="s">
        <v>134</v>
      </c>
      <c r="B16" s="4">
        <v>45380</v>
      </c>
      <c r="C16" s="3" t="s">
        <v>112</v>
      </c>
      <c r="D16" s="3" t="s">
        <v>133</v>
      </c>
      <c r="E16" s="3" t="s">
        <v>102</v>
      </c>
      <c r="F16" s="3" t="s">
        <v>117</v>
      </c>
      <c r="G16" s="3" t="s">
        <v>124</v>
      </c>
      <c r="H16" s="3" t="s">
        <v>129</v>
      </c>
      <c r="I16" s="3" t="s">
        <v>122</v>
      </c>
      <c r="J16" s="6">
        <v>1</v>
      </c>
    </row>
    <row r="17" spans="1:10" ht="15" thickBot="1">
      <c r="A17" s="5" t="s">
        <v>135</v>
      </c>
      <c r="B17" s="4">
        <v>45384</v>
      </c>
      <c r="C17" s="3" t="s">
        <v>136</v>
      </c>
      <c r="D17" s="3" t="s">
        <v>90</v>
      </c>
      <c r="E17" s="3" t="s">
        <v>137</v>
      </c>
      <c r="F17" s="3" t="s">
        <v>98</v>
      </c>
      <c r="G17" s="3" t="s">
        <v>93</v>
      </c>
      <c r="H17" s="3" t="s">
        <v>129</v>
      </c>
      <c r="I17" s="3" t="s">
        <v>119</v>
      </c>
      <c r="J17" s="6">
        <v>2</v>
      </c>
    </row>
    <row r="18" spans="1:10" ht="27.6" thickBot="1">
      <c r="A18" s="5" t="s">
        <v>138</v>
      </c>
      <c r="B18" s="4">
        <v>45378</v>
      </c>
      <c r="C18" s="3" t="s">
        <v>136</v>
      </c>
      <c r="D18" s="3" t="s">
        <v>133</v>
      </c>
      <c r="E18" s="3" t="s">
        <v>128</v>
      </c>
      <c r="F18" s="3" t="s">
        <v>98</v>
      </c>
      <c r="G18" s="3" t="s">
        <v>104</v>
      </c>
      <c r="H18" s="3" t="s">
        <v>94</v>
      </c>
      <c r="I18" s="3" t="s">
        <v>110</v>
      </c>
      <c r="J18" s="6">
        <v>1</v>
      </c>
    </row>
    <row r="19" spans="1:10" ht="27.6" thickBot="1">
      <c r="A19" s="5" t="s">
        <v>139</v>
      </c>
      <c r="B19" s="4">
        <v>45431</v>
      </c>
      <c r="C19" s="3" t="s">
        <v>136</v>
      </c>
      <c r="D19" s="3" t="s">
        <v>90</v>
      </c>
      <c r="E19" s="3" t="s">
        <v>109</v>
      </c>
      <c r="F19" s="3" t="s">
        <v>98</v>
      </c>
      <c r="G19" s="3" t="s">
        <v>99</v>
      </c>
      <c r="H19" s="3" t="s">
        <v>129</v>
      </c>
      <c r="I19" s="3" t="s">
        <v>100</v>
      </c>
      <c r="J19" s="6">
        <v>5</v>
      </c>
    </row>
    <row r="20" spans="1:10" ht="27.6" thickBot="1">
      <c r="A20" s="5" t="s">
        <v>140</v>
      </c>
      <c r="B20" s="4">
        <v>45354</v>
      </c>
      <c r="C20" s="3" t="s">
        <v>89</v>
      </c>
      <c r="D20" s="3" t="s">
        <v>108</v>
      </c>
      <c r="E20" s="3" t="s">
        <v>128</v>
      </c>
      <c r="F20" s="3" t="s">
        <v>103</v>
      </c>
      <c r="G20" s="3" t="s">
        <v>104</v>
      </c>
      <c r="H20" s="3" t="s">
        <v>94</v>
      </c>
      <c r="I20" s="3" t="s">
        <v>100</v>
      </c>
      <c r="J20" s="6">
        <v>4</v>
      </c>
    </row>
    <row r="21" spans="1:10" ht="27.6" thickBot="1">
      <c r="A21" s="5" t="s">
        <v>141</v>
      </c>
      <c r="B21" s="4">
        <v>45359</v>
      </c>
      <c r="C21" s="3" t="s">
        <v>142</v>
      </c>
      <c r="D21" s="3" t="s">
        <v>90</v>
      </c>
      <c r="E21" s="3" t="s">
        <v>116</v>
      </c>
      <c r="F21" s="3" t="s">
        <v>103</v>
      </c>
      <c r="G21" s="3" t="s">
        <v>104</v>
      </c>
      <c r="H21" s="3" t="s">
        <v>94</v>
      </c>
      <c r="I21" s="3" t="s">
        <v>110</v>
      </c>
      <c r="J21" s="6">
        <v>3</v>
      </c>
    </row>
    <row r="22" spans="1:10" ht="15" thickBot="1">
      <c r="A22" s="5" t="s">
        <v>143</v>
      </c>
      <c r="B22" s="4">
        <v>45469</v>
      </c>
      <c r="C22" s="3" t="s">
        <v>121</v>
      </c>
      <c r="D22" s="3" t="s">
        <v>90</v>
      </c>
      <c r="E22" s="3" t="s">
        <v>128</v>
      </c>
      <c r="F22" s="3" t="s">
        <v>117</v>
      </c>
      <c r="G22" s="3" t="s">
        <v>124</v>
      </c>
      <c r="H22" s="3" t="s">
        <v>129</v>
      </c>
      <c r="I22" s="3" t="s">
        <v>119</v>
      </c>
      <c r="J22" s="6">
        <v>4</v>
      </c>
    </row>
    <row r="23" spans="1:10" ht="15" thickBot="1">
      <c r="A23" s="5" t="s">
        <v>144</v>
      </c>
      <c r="B23" s="4">
        <v>45317</v>
      </c>
      <c r="C23" s="3" t="s">
        <v>121</v>
      </c>
      <c r="D23" s="3" t="s">
        <v>108</v>
      </c>
      <c r="E23" s="3" t="s">
        <v>102</v>
      </c>
      <c r="F23" s="3" t="s">
        <v>117</v>
      </c>
      <c r="G23" s="3" t="s">
        <v>99</v>
      </c>
      <c r="H23" s="3" t="s">
        <v>94</v>
      </c>
      <c r="I23" s="3" t="s">
        <v>110</v>
      </c>
      <c r="J23" s="6">
        <v>5</v>
      </c>
    </row>
    <row r="24" spans="1:10" ht="27.6" thickBot="1">
      <c r="A24" s="5" t="s">
        <v>145</v>
      </c>
      <c r="B24" s="4">
        <v>45327</v>
      </c>
      <c r="C24" s="3" t="s">
        <v>107</v>
      </c>
      <c r="D24" s="3" t="s">
        <v>113</v>
      </c>
      <c r="E24" s="3" t="s">
        <v>128</v>
      </c>
      <c r="F24" s="3" t="s">
        <v>103</v>
      </c>
      <c r="G24" s="3" t="s">
        <v>99</v>
      </c>
      <c r="H24" s="3" t="s">
        <v>118</v>
      </c>
      <c r="I24" s="3" t="s">
        <v>100</v>
      </c>
      <c r="J24" s="6">
        <v>5</v>
      </c>
    </row>
    <row r="25" spans="1:10" ht="27.6" thickBot="1">
      <c r="A25" s="5" t="s">
        <v>146</v>
      </c>
      <c r="B25" s="4">
        <v>45450</v>
      </c>
      <c r="C25" s="3" t="s">
        <v>89</v>
      </c>
      <c r="D25" s="3" t="s">
        <v>131</v>
      </c>
      <c r="E25" s="3" t="s">
        <v>109</v>
      </c>
      <c r="F25" s="3" t="s">
        <v>98</v>
      </c>
      <c r="G25" s="3" t="s">
        <v>104</v>
      </c>
      <c r="H25" s="3" t="s">
        <v>105</v>
      </c>
      <c r="I25" s="3" t="s">
        <v>114</v>
      </c>
      <c r="J25" s="6">
        <v>4</v>
      </c>
    </row>
    <row r="26" spans="1:10" ht="27.6" thickBot="1">
      <c r="A26" s="5" t="s">
        <v>147</v>
      </c>
      <c r="B26" s="4">
        <v>45378</v>
      </c>
      <c r="C26" s="3" t="s">
        <v>136</v>
      </c>
      <c r="D26" s="3" t="s">
        <v>108</v>
      </c>
      <c r="E26" s="3" t="s">
        <v>102</v>
      </c>
      <c r="F26" s="3" t="s">
        <v>117</v>
      </c>
      <c r="G26" s="3" t="s">
        <v>104</v>
      </c>
      <c r="H26" s="3" t="s">
        <v>129</v>
      </c>
      <c r="I26" s="3" t="s">
        <v>114</v>
      </c>
      <c r="J26" s="6">
        <v>4</v>
      </c>
    </row>
    <row r="27" spans="1:10" ht="15" thickBot="1">
      <c r="A27" s="5" t="s">
        <v>148</v>
      </c>
      <c r="B27" s="4">
        <v>45346</v>
      </c>
      <c r="C27" s="3" t="s">
        <v>97</v>
      </c>
      <c r="D27" s="3" t="s">
        <v>131</v>
      </c>
      <c r="E27" s="3" t="s">
        <v>109</v>
      </c>
      <c r="F27" s="3" t="s">
        <v>117</v>
      </c>
      <c r="G27" s="3" t="s">
        <v>93</v>
      </c>
      <c r="H27" s="3" t="s">
        <v>94</v>
      </c>
      <c r="I27" s="3" t="s">
        <v>95</v>
      </c>
      <c r="J27" s="6">
        <v>0</v>
      </c>
    </row>
    <row r="28" spans="1:10" ht="15" thickBot="1">
      <c r="A28" s="5" t="s">
        <v>149</v>
      </c>
      <c r="B28" s="4">
        <v>45447</v>
      </c>
      <c r="C28" s="3" t="s">
        <v>121</v>
      </c>
      <c r="D28" s="3" t="s">
        <v>113</v>
      </c>
      <c r="E28" s="3" t="s">
        <v>128</v>
      </c>
      <c r="F28" s="3" t="s">
        <v>117</v>
      </c>
      <c r="G28" s="3" t="s">
        <v>99</v>
      </c>
      <c r="H28" s="3" t="s">
        <v>105</v>
      </c>
      <c r="I28" s="3" t="s">
        <v>119</v>
      </c>
      <c r="J28" s="6">
        <v>1</v>
      </c>
    </row>
    <row r="29" spans="1:10" ht="15" thickBot="1">
      <c r="A29" s="5" t="s">
        <v>150</v>
      </c>
      <c r="B29" s="4">
        <v>45442</v>
      </c>
      <c r="C29" s="3" t="s">
        <v>107</v>
      </c>
      <c r="D29" s="3" t="s">
        <v>108</v>
      </c>
      <c r="E29" s="3" t="s">
        <v>137</v>
      </c>
      <c r="F29" s="3" t="s">
        <v>92</v>
      </c>
      <c r="G29" s="3" t="s">
        <v>99</v>
      </c>
      <c r="H29" s="3" t="s">
        <v>94</v>
      </c>
      <c r="I29" s="3" t="s">
        <v>114</v>
      </c>
      <c r="J29" s="6">
        <v>0</v>
      </c>
    </row>
    <row r="30" spans="1:10" ht="15" thickBot="1">
      <c r="A30" s="5" t="s">
        <v>151</v>
      </c>
      <c r="B30" s="4">
        <v>45386</v>
      </c>
      <c r="C30" s="3" t="s">
        <v>89</v>
      </c>
      <c r="D30" s="3" t="s">
        <v>133</v>
      </c>
      <c r="E30" s="3" t="s">
        <v>116</v>
      </c>
      <c r="F30" s="3" t="s">
        <v>103</v>
      </c>
      <c r="G30" s="3" t="s">
        <v>124</v>
      </c>
      <c r="H30" s="3" t="s">
        <v>105</v>
      </c>
      <c r="I30" s="3" t="s">
        <v>95</v>
      </c>
      <c r="J30" s="6">
        <v>0</v>
      </c>
    </row>
    <row r="31" spans="1:10" ht="15" thickBot="1">
      <c r="A31" s="5" t="s">
        <v>152</v>
      </c>
      <c r="B31" s="4">
        <v>45422</v>
      </c>
      <c r="C31" s="3" t="s">
        <v>89</v>
      </c>
      <c r="D31" s="3" t="s">
        <v>90</v>
      </c>
      <c r="E31" s="3" t="s">
        <v>102</v>
      </c>
      <c r="F31" s="3" t="s">
        <v>98</v>
      </c>
      <c r="G31" s="3" t="s">
        <v>93</v>
      </c>
      <c r="H31" s="3" t="s">
        <v>129</v>
      </c>
      <c r="I31" s="3" t="s">
        <v>110</v>
      </c>
      <c r="J31" s="6">
        <v>4</v>
      </c>
    </row>
    <row r="32" spans="1:10" ht="15" thickBot="1">
      <c r="A32" s="5" t="s">
        <v>153</v>
      </c>
      <c r="B32" s="4">
        <v>45353</v>
      </c>
      <c r="C32" s="3" t="s">
        <v>136</v>
      </c>
      <c r="D32" s="3" t="s">
        <v>113</v>
      </c>
      <c r="E32" s="3" t="s">
        <v>91</v>
      </c>
      <c r="F32" s="3" t="s">
        <v>117</v>
      </c>
      <c r="G32" s="3" t="s">
        <v>99</v>
      </c>
      <c r="H32" s="3" t="s">
        <v>129</v>
      </c>
      <c r="I32" s="3" t="s">
        <v>114</v>
      </c>
      <c r="J32" s="6">
        <v>4</v>
      </c>
    </row>
    <row r="33" spans="1:10" ht="27.6" thickBot="1">
      <c r="A33" s="5" t="s">
        <v>154</v>
      </c>
      <c r="B33" s="4">
        <v>45398</v>
      </c>
      <c r="C33" s="3" t="s">
        <v>107</v>
      </c>
      <c r="D33" s="3" t="s">
        <v>133</v>
      </c>
      <c r="E33" s="3" t="s">
        <v>116</v>
      </c>
      <c r="F33" s="3" t="s">
        <v>98</v>
      </c>
      <c r="G33" s="3" t="s">
        <v>104</v>
      </c>
      <c r="H33" s="3" t="s">
        <v>129</v>
      </c>
      <c r="I33" s="3" t="s">
        <v>100</v>
      </c>
      <c r="J33" s="6">
        <v>0</v>
      </c>
    </row>
    <row r="34" spans="1:10" ht="15" thickBot="1">
      <c r="A34" s="5" t="s">
        <v>155</v>
      </c>
      <c r="B34" s="4">
        <v>45452</v>
      </c>
      <c r="C34" s="3" t="s">
        <v>142</v>
      </c>
      <c r="D34" s="3" t="s">
        <v>131</v>
      </c>
      <c r="E34" s="3" t="s">
        <v>128</v>
      </c>
      <c r="F34" s="3" t="s">
        <v>117</v>
      </c>
      <c r="G34" s="3" t="s">
        <v>124</v>
      </c>
      <c r="H34" s="3" t="s">
        <v>129</v>
      </c>
      <c r="I34" s="3" t="s">
        <v>95</v>
      </c>
      <c r="J34" s="6">
        <v>5</v>
      </c>
    </row>
    <row r="35" spans="1:10" ht="15" thickBot="1">
      <c r="A35" s="5" t="s">
        <v>156</v>
      </c>
      <c r="B35" s="4">
        <v>45347</v>
      </c>
      <c r="C35" s="3" t="s">
        <v>136</v>
      </c>
      <c r="D35" s="3" t="s">
        <v>133</v>
      </c>
      <c r="E35" s="3" t="s">
        <v>91</v>
      </c>
      <c r="F35" s="3" t="s">
        <v>117</v>
      </c>
      <c r="G35" s="3" t="s">
        <v>99</v>
      </c>
      <c r="H35" s="3" t="s">
        <v>105</v>
      </c>
      <c r="I35" s="3" t="s">
        <v>119</v>
      </c>
      <c r="J35" s="6">
        <v>2</v>
      </c>
    </row>
    <row r="36" spans="1:10" ht="27.6" thickBot="1">
      <c r="A36" s="5" t="s">
        <v>157</v>
      </c>
      <c r="B36" s="4">
        <v>45467</v>
      </c>
      <c r="C36" s="3" t="s">
        <v>107</v>
      </c>
      <c r="D36" s="3" t="s">
        <v>131</v>
      </c>
      <c r="E36" s="3" t="s">
        <v>91</v>
      </c>
      <c r="F36" s="3" t="s">
        <v>103</v>
      </c>
      <c r="G36" s="3" t="s">
        <v>99</v>
      </c>
      <c r="H36" s="3" t="s">
        <v>105</v>
      </c>
      <c r="I36" s="3" t="s">
        <v>100</v>
      </c>
      <c r="J36" s="6">
        <v>1</v>
      </c>
    </row>
    <row r="37" spans="1:10" ht="27.6" thickBot="1">
      <c r="A37" s="5" t="s">
        <v>158</v>
      </c>
      <c r="B37" s="4">
        <v>45403</v>
      </c>
      <c r="C37" s="3" t="s">
        <v>142</v>
      </c>
      <c r="D37" s="3" t="s">
        <v>113</v>
      </c>
      <c r="E37" s="3" t="s">
        <v>102</v>
      </c>
      <c r="F37" s="3" t="s">
        <v>92</v>
      </c>
      <c r="G37" s="3" t="s">
        <v>104</v>
      </c>
      <c r="H37" s="3" t="s">
        <v>118</v>
      </c>
      <c r="I37" s="3" t="s">
        <v>119</v>
      </c>
      <c r="J37" s="6">
        <v>1</v>
      </c>
    </row>
    <row r="38" spans="1:10" ht="15" thickBot="1">
      <c r="A38" s="5" t="s">
        <v>159</v>
      </c>
      <c r="B38" s="4">
        <v>45293</v>
      </c>
      <c r="C38" s="3" t="s">
        <v>97</v>
      </c>
      <c r="D38" s="3" t="s">
        <v>90</v>
      </c>
      <c r="E38" s="3" t="s">
        <v>109</v>
      </c>
      <c r="F38" s="3" t="s">
        <v>92</v>
      </c>
      <c r="G38" s="3" t="s">
        <v>124</v>
      </c>
      <c r="H38" s="3" t="s">
        <v>129</v>
      </c>
      <c r="I38" s="3" t="s">
        <v>122</v>
      </c>
      <c r="J38" s="6">
        <v>3</v>
      </c>
    </row>
    <row r="39" spans="1:10" ht="27.6" thickBot="1">
      <c r="A39" s="5" t="s">
        <v>160</v>
      </c>
      <c r="B39" s="4">
        <v>45436</v>
      </c>
      <c r="C39" s="3" t="s">
        <v>142</v>
      </c>
      <c r="D39" s="3" t="s">
        <v>113</v>
      </c>
      <c r="E39" s="3" t="s">
        <v>91</v>
      </c>
      <c r="F39" s="3" t="s">
        <v>92</v>
      </c>
      <c r="G39" s="3" t="s">
        <v>124</v>
      </c>
      <c r="H39" s="3" t="s">
        <v>94</v>
      </c>
      <c r="I39" s="3" t="s">
        <v>100</v>
      </c>
      <c r="J39" s="6">
        <v>4</v>
      </c>
    </row>
    <row r="40" spans="1:10" ht="27.6" thickBot="1">
      <c r="A40" s="5" t="s">
        <v>161</v>
      </c>
      <c r="B40" s="4">
        <v>45317</v>
      </c>
      <c r="C40" s="3" t="s">
        <v>127</v>
      </c>
      <c r="D40" s="3" t="s">
        <v>131</v>
      </c>
      <c r="E40" s="3" t="s">
        <v>128</v>
      </c>
      <c r="F40" s="3" t="s">
        <v>92</v>
      </c>
      <c r="G40" s="3" t="s">
        <v>104</v>
      </c>
      <c r="H40" s="3" t="s">
        <v>118</v>
      </c>
      <c r="I40" s="3" t="s">
        <v>95</v>
      </c>
      <c r="J40" s="6">
        <v>5</v>
      </c>
    </row>
    <row r="41" spans="1:10" ht="27.6" thickBot="1">
      <c r="A41" s="5" t="s">
        <v>162</v>
      </c>
      <c r="B41" s="4">
        <v>45314</v>
      </c>
      <c r="C41" s="3" t="s">
        <v>112</v>
      </c>
      <c r="D41" s="3" t="s">
        <v>90</v>
      </c>
      <c r="E41" s="3" t="s">
        <v>91</v>
      </c>
      <c r="F41" s="3" t="s">
        <v>103</v>
      </c>
      <c r="G41" s="3" t="s">
        <v>104</v>
      </c>
      <c r="H41" s="3" t="s">
        <v>129</v>
      </c>
      <c r="I41" s="3" t="s">
        <v>122</v>
      </c>
      <c r="J41" s="6">
        <v>0</v>
      </c>
    </row>
    <row r="42" spans="1:10" ht="27.6" thickBot="1">
      <c r="A42" s="5" t="s">
        <v>163</v>
      </c>
      <c r="B42" s="4">
        <v>45408</v>
      </c>
      <c r="C42" s="3" t="s">
        <v>107</v>
      </c>
      <c r="D42" s="3" t="s">
        <v>113</v>
      </c>
      <c r="E42" s="3" t="s">
        <v>116</v>
      </c>
      <c r="F42" s="3" t="s">
        <v>98</v>
      </c>
      <c r="G42" s="3" t="s">
        <v>104</v>
      </c>
      <c r="H42" s="3" t="s">
        <v>105</v>
      </c>
      <c r="I42" s="3" t="s">
        <v>122</v>
      </c>
      <c r="J42" s="6">
        <v>2</v>
      </c>
    </row>
    <row r="43" spans="1:10" ht="15" thickBot="1">
      <c r="A43" s="5" t="s">
        <v>164</v>
      </c>
      <c r="B43" s="4">
        <v>45365</v>
      </c>
      <c r="C43" s="3" t="s">
        <v>89</v>
      </c>
      <c r="D43" s="3" t="s">
        <v>90</v>
      </c>
      <c r="E43" s="3" t="s">
        <v>91</v>
      </c>
      <c r="F43" s="3" t="s">
        <v>117</v>
      </c>
      <c r="G43" s="3" t="s">
        <v>99</v>
      </c>
      <c r="H43" s="3" t="s">
        <v>105</v>
      </c>
      <c r="I43" s="3" t="s">
        <v>114</v>
      </c>
      <c r="J43" s="6">
        <v>1</v>
      </c>
    </row>
    <row r="44" spans="1:10" ht="15" thickBot="1">
      <c r="A44" s="5" t="s">
        <v>165</v>
      </c>
      <c r="B44" s="4">
        <v>45301</v>
      </c>
      <c r="C44" s="3" t="s">
        <v>89</v>
      </c>
      <c r="D44" s="3" t="s">
        <v>113</v>
      </c>
      <c r="E44" s="3" t="s">
        <v>91</v>
      </c>
      <c r="F44" s="3" t="s">
        <v>92</v>
      </c>
      <c r="G44" s="3" t="s">
        <v>124</v>
      </c>
      <c r="H44" s="3" t="s">
        <v>118</v>
      </c>
      <c r="I44" s="3" t="s">
        <v>110</v>
      </c>
      <c r="J44" s="6">
        <v>4</v>
      </c>
    </row>
    <row r="45" spans="1:10" ht="27.6" thickBot="1">
      <c r="A45" s="5" t="s">
        <v>166</v>
      </c>
      <c r="B45" s="4">
        <v>45410</v>
      </c>
      <c r="C45" s="3" t="s">
        <v>97</v>
      </c>
      <c r="D45" s="3" t="s">
        <v>108</v>
      </c>
      <c r="E45" s="3" t="s">
        <v>116</v>
      </c>
      <c r="F45" s="3" t="s">
        <v>98</v>
      </c>
      <c r="G45" s="3" t="s">
        <v>104</v>
      </c>
      <c r="H45" s="3" t="s">
        <v>118</v>
      </c>
      <c r="I45" s="3" t="s">
        <v>122</v>
      </c>
      <c r="J45" s="6">
        <v>2</v>
      </c>
    </row>
    <row r="46" spans="1:10" ht="27.6" thickBot="1">
      <c r="A46" s="5" t="s">
        <v>167</v>
      </c>
      <c r="B46" s="4">
        <v>45314</v>
      </c>
      <c r="C46" s="3" t="s">
        <v>112</v>
      </c>
      <c r="D46" s="3" t="s">
        <v>90</v>
      </c>
      <c r="E46" s="3" t="s">
        <v>102</v>
      </c>
      <c r="F46" s="3" t="s">
        <v>103</v>
      </c>
      <c r="G46" s="3" t="s">
        <v>104</v>
      </c>
      <c r="H46" s="3" t="s">
        <v>118</v>
      </c>
      <c r="I46" s="3" t="s">
        <v>110</v>
      </c>
      <c r="J46" s="6">
        <v>2</v>
      </c>
    </row>
    <row r="47" spans="1:10" ht="15" thickBot="1">
      <c r="A47" s="5" t="s">
        <v>168</v>
      </c>
      <c r="B47" s="4">
        <v>45370</v>
      </c>
      <c r="C47" s="3" t="s">
        <v>89</v>
      </c>
      <c r="D47" s="3" t="s">
        <v>113</v>
      </c>
      <c r="E47" s="3" t="s">
        <v>116</v>
      </c>
      <c r="F47" s="3" t="s">
        <v>103</v>
      </c>
      <c r="G47" s="3" t="s">
        <v>124</v>
      </c>
      <c r="H47" s="3" t="s">
        <v>105</v>
      </c>
      <c r="I47" s="3" t="s">
        <v>114</v>
      </c>
      <c r="J47" s="6">
        <v>4</v>
      </c>
    </row>
    <row r="48" spans="1:10" ht="15" thickBot="1">
      <c r="A48" s="5" t="s">
        <v>169</v>
      </c>
      <c r="B48" s="4">
        <v>45371</v>
      </c>
      <c r="C48" s="3" t="s">
        <v>89</v>
      </c>
      <c r="D48" s="3" t="s">
        <v>90</v>
      </c>
      <c r="E48" s="3" t="s">
        <v>137</v>
      </c>
      <c r="F48" s="3" t="s">
        <v>92</v>
      </c>
      <c r="G48" s="3" t="s">
        <v>124</v>
      </c>
      <c r="H48" s="3" t="s">
        <v>129</v>
      </c>
      <c r="I48" s="3" t="s">
        <v>110</v>
      </c>
      <c r="J48" s="6">
        <v>3</v>
      </c>
    </row>
    <row r="49" spans="1:10" ht="15" thickBot="1">
      <c r="A49" s="5" t="s">
        <v>170</v>
      </c>
      <c r="B49" s="4">
        <v>45417</v>
      </c>
      <c r="C49" s="3" t="s">
        <v>97</v>
      </c>
      <c r="D49" s="3" t="s">
        <v>113</v>
      </c>
      <c r="E49" s="3" t="s">
        <v>128</v>
      </c>
      <c r="F49" s="3" t="s">
        <v>117</v>
      </c>
      <c r="G49" s="3" t="s">
        <v>93</v>
      </c>
      <c r="H49" s="3" t="s">
        <v>118</v>
      </c>
      <c r="I49" s="3" t="s">
        <v>122</v>
      </c>
      <c r="J49" s="6">
        <v>0</v>
      </c>
    </row>
    <row r="50" spans="1:10" ht="15" thickBot="1">
      <c r="A50" s="5" t="s">
        <v>171</v>
      </c>
      <c r="B50" s="4">
        <v>45402</v>
      </c>
      <c r="C50" s="3" t="s">
        <v>89</v>
      </c>
      <c r="D50" s="3" t="s">
        <v>90</v>
      </c>
      <c r="E50" s="3" t="s">
        <v>116</v>
      </c>
      <c r="F50" s="3" t="s">
        <v>98</v>
      </c>
      <c r="G50" s="3" t="s">
        <v>93</v>
      </c>
      <c r="H50" s="3" t="s">
        <v>129</v>
      </c>
      <c r="I50" s="3" t="s">
        <v>95</v>
      </c>
      <c r="J50" s="6">
        <v>1</v>
      </c>
    </row>
    <row r="51" spans="1:10" ht="15" thickBot="1">
      <c r="A51" s="5" t="s">
        <v>172</v>
      </c>
      <c r="B51" s="4">
        <v>45466</v>
      </c>
      <c r="C51" s="3" t="s">
        <v>136</v>
      </c>
      <c r="D51" s="3" t="s">
        <v>113</v>
      </c>
      <c r="E51" s="3" t="s">
        <v>128</v>
      </c>
      <c r="F51" s="3" t="s">
        <v>117</v>
      </c>
      <c r="G51" s="3" t="s">
        <v>124</v>
      </c>
      <c r="H51" s="3" t="s">
        <v>105</v>
      </c>
      <c r="I51" s="3" t="s">
        <v>119</v>
      </c>
      <c r="J51" s="6">
        <v>0</v>
      </c>
    </row>
    <row r="52" spans="1:10" ht="15" thickBot="1">
      <c r="A52" s="5" t="s">
        <v>173</v>
      </c>
      <c r="B52" s="4">
        <v>45369</v>
      </c>
      <c r="C52" s="3" t="s">
        <v>142</v>
      </c>
      <c r="D52" s="3" t="s">
        <v>108</v>
      </c>
      <c r="E52" s="3" t="s">
        <v>128</v>
      </c>
      <c r="F52" s="3" t="s">
        <v>92</v>
      </c>
      <c r="G52" s="3" t="s">
        <v>93</v>
      </c>
      <c r="H52" s="3" t="s">
        <v>94</v>
      </c>
      <c r="I52" s="3" t="s">
        <v>114</v>
      </c>
      <c r="J52" s="6">
        <v>5</v>
      </c>
    </row>
    <row r="53" spans="1:10" ht="15" thickBot="1">
      <c r="A53" s="5" t="s">
        <v>174</v>
      </c>
      <c r="B53" s="4">
        <v>45436</v>
      </c>
      <c r="C53" s="3" t="s">
        <v>112</v>
      </c>
      <c r="D53" s="3" t="s">
        <v>133</v>
      </c>
      <c r="E53" s="3" t="s">
        <v>109</v>
      </c>
      <c r="F53" s="3" t="s">
        <v>98</v>
      </c>
      <c r="G53" s="3" t="s">
        <v>99</v>
      </c>
      <c r="H53" s="3" t="s">
        <v>118</v>
      </c>
      <c r="I53" s="3" t="s">
        <v>122</v>
      </c>
      <c r="J53" s="6">
        <v>2</v>
      </c>
    </row>
    <row r="54" spans="1:10" ht="15" thickBot="1">
      <c r="A54" s="5" t="s">
        <v>175</v>
      </c>
      <c r="B54" s="4">
        <v>45383</v>
      </c>
      <c r="C54" s="3" t="s">
        <v>127</v>
      </c>
      <c r="D54" s="3" t="s">
        <v>108</v>
      </c>
      <c r="E54" s="3" t="s">
        <v>102</v>
      </c>
      <c r="F54" s="3" t="s">
        <v>103</v>
      </c>
      <c r="G54" s="3" t="s">
        <v>93</v>
      </c>
      <c r="H54" s="3" t="s">
        <v>94</v>
      </c>
      <c r="I54" s="3" t="s">
        <v>119</v>
      </c>
      <c r="J54" s="6">
        <v>0</v>
      </c>
    </row>
    <row r="55" spans="1:10" ht="15" thickBot="1">
      <c r="A55" s="5" t="s">
        <v>176</v>
      </c>
      <c r="B55" s="4">
        <v>45347</v>
      </c>
      <c r="C55" s="3" t="s">
        <v>121</v>
      </c>
      <c r="D55" s="3" t="s">
        <v>113</v>
      </c>
      <c r="E55" s="3" t="s">
        <v>109</v>
      </c>
      <c r="F55" s="3" t="s">
        <v>98</v>
      </c>
      <c r="G55" s="3" t="s">
        <v>99</v>
      </c>
      <c r="H55" s="3" t="s">
        <v>129</v>
      </c>
      <c r="I55" s="3" t="s">
        <v>114</v>
      </c>
      <c r="J55" s="6">
        <v>2</v>
      </c>
    </row>
    <row r="56" spans="1:10" ht="27.6" thickBot="1">
      <c r="A56" s="5" t="s">
        <v>177</v>
      </c>
      <c r="B56" s="4">
        <v>45311</v>
      </c>
      <c r="C56" s="3" t="s">
        <v>142</v>
      </c>
      <c r="D56" s="3" t="s">
        <v>133</v>
      </c>
      <c r="E56" s="3" t="s">
        <v>116</v>
      </c>
      <c r="F56" s="3" t="s">
        <v>103</v>
      </c>
      <c r="G56" s="3" t="s">
        <v>104</v>
      </c>
      <c r="H56" s="3" t="s">
        <v>94</v>
      </c>
      <c r="I56" s="3" t="s">
        <v>119</v>
      </c>
      <c r="J56" s="6">
        <v>3</v>
      </c>
    </row>
    <row r="57" spans="1:10" ht="15" thickBot="1">
      <c r="A57" s="5" t="s">
        <v>178</v>
      </c>
      <c r="B57" s="4">
        <v>45345</v>
      </c>
      <c r="C57" s="3" t="s">
        <v>89</v>
      </c>
      <c r="D57" s="3" t="s">
        <v>113</v>
      </c>
      <c r="E57" s="3" t="s">
        <v>109</v>
      </c>
      <c r="F57" s="3" t="s">
        <v>103</v>
      </c>
      <c r="G57" s="3" t="s">
        <v>93</v>
      </c>
      <c r="H57" s="3" t="s">
        <v>129</v>
      </c>
      <c r="I57" s="3" t="s">
        <v>119</v>
      </c>
      <c r="J57" s="6">
        <v>5</v>
      </c>
    </row>
    <row r="58" spans="1:10" ht="15" thickBot="1">
      <c r="A58" s="5" t="s">
        <v>179</v>
      </c>
      <c r="B58" s="4">
        <v>45433</v>
      </c>
      <c r="C58" s="3" t="s">
        <v>89</v>
      </c>
      <c r="D58" s="3" t="s">
        <v>90</v>
      </c>
      <c r="E58" s="3" t="s">
        <v>91</v>
      </c>
      <c r="F58" s="3" t="s">
        <v>92</v>
      </c>
      <c r="G58" s="3" t="s">
        <v>99</v>
      </c>
      <c r="H58" s="3" t="s">
        <v>94</v>
      </c>
      <c r="I58" s="3" t="s">
        <v>110</v>
      </c>
      <c r="J58" s="6">
        <v>4</v>
      </c>
    </row>
    <row r="59" spans="1:10" ht="27.6" thickBot="1">
      <c r="A59" s="5" t="s">
        <v>180</v>
      </c>
      <c r="B59" s="4">
        <v>45374</v>
      </c>
      <c r="C59" s="3" t="s">
        <v>112</v>
      </c>
      <c r="D59" s="3" t="s">
        <v>90</v>
      </c>
      <c r="E59" s="3" t="s">
        <v>137</v>
      </c>
      <c r="F59" s="3" t="s">
        <v>98</v>
      </c>
      <c r="G59" s="3" t="s">
        <v>104</v>
      </c>
      <c r="H59" s="3" t="s">
        <v>94</v>
      </c>
      <c r="I59" s="3" t="s">
        <v>119</v>
      </c>
      <c r="J59" s="6">
        <v>3</v>
      </c>
    </row>
    <row r="60" spans="1:10" ht="27.6" thickBot="1">
      <c r="A60" s="5" t="s">
        <v>181</v>
      </c>
      <c r="B60" s="4">
        <v>45433</v>
      </c>
      <c r="C60" s="3" t="s">
        <v>112</v>
      </c>
      <c r="D60" s="3" t="s">
        <v>90</v>
      </c>
      <c r="E60" s="3" t="s">
        <v>137</v>
      </c>
      <c r="F60" s="3" t="s">
        <v>103</v>
      </c>
      <c r="G60" s="3" t="s">
        <v>104</v>
      </c>
      <c r="H60" s="3" t="s">
        <v>118</v>
      </c>
      <c r="I60" s="3" t="s">
        <v>122</v>
      </c>
      <c r="J60" s="6">
        <v>5</v>
      </c>
    </row>
    <row r="61" spans="1:10" ht="15" thickBot="1">
      <c r="A61" s="5" t="s">
        <v>182</v>
      </c>
      <c r="B61" s="4">
        <v>45367</v>
      </c>
      <c r="C61" s="3" t="s">
        <v>89</v>
      </c>
      <c r="D61" s="3" t="s">
        <v>108</v>
      </c>
      <c r="E61" s="3" t="s">
        <v>91</v>
      </c>
      <c r="F61" s="3" t="s">
        <v>98</v>
      </c>
      <c r="G61" s="3" t="s">
        <v>124</v>
      </c>
      <c r="H61" s="3" t="s">
        <v>118</v>
      </c>
      <c r="I61" s="3" t="s">
        <v>110</v>
      </c>
      <c r="J61" s="6">
        <v>2</v>
      </c>
    </row>
    <row r="62" spans="1:10" ht="27.6" thickBot="1">
      <c r="A62" s="5" t="s">
        <v>183</v>
      </c>
      <c r="B62" s="4">
        <v>45317</v>
      </c>
      <c r="C62" s="3" t="s">
        <v>97</v>
      </c>
      <c r="D62" s="3" t="s">
        <v>108</v>
      </c>
      <c r="E62" s="3" t="s">
        <v>116</v>
      </c>
      <c r="F62" s="3" t="s">
        <v>98</v>
      </c>
      <c r="G62" s="3" t="s">
        <v>104</v>
      </c>
      <c r="H62" s="3" t="s">
        <v>105</v>
      </c>
      <c r="I62" s="3" t="s">
        <v>122</v>
      </c>
      <c r="J62" s="6">
        <v>4</v>
      </c>
    </row>
    <row r="63" spans="1:10" ht="15" thickBot="1">
      <c r="A63" s="5" t="s">
        <v>184</v>
      </c>
      <c r="B63" s="4">
        <v>45426</v>
      </c>
      <c r="C63" s="3" t="s">
        <v>107</v>
      </c>
      <c r="D63" s="3" t="s">
        <v>90</v>
      </c>
      <c r="E63" s="3" t="s">
        <v>116</v>
      </c>
      <c r="F63" s="3" t="s">
        <v>117</v>
      </c>
      <c r="G63" s="3" t="s">
        <v>93</v>
      </c>
      <c r="H63" s="3" t="s">
        <v>105</v>
      </c>
      <c r="I63" s="3" t="s">
        <v>119</v>
      </c>
      <c r="J63" s="6">
        <v>2</v>
      </c>
    </row>
    <row r="64" spans="1:10" ht="27.6" thickBot="1">
      <c r="A64" s="5" t="s">
        <v>185</v>
      </c>
      <c r="B64" s="4">
        <v>45423</v>
      </c>
      <c r="C64" s="3" t="s">
        <v>89</v>
      </c>
      <c r="D64" s="3" t="s">
        <v>113</v>
      </c>
      <c r="E64" s="3" t="s">
        <v>102</v>
      </c>
      <c r="F64" s="3" t="s">
        <v>98</v>
      </c>
      <c r="G64" s="3" t="s">
        <v>104</v>
      </c>
      <c r="H64" s="3" t="s">
        <v>105</v>
      </c>
      <c r="I64" s="3" t="s">
        <v>110</v>
      </c>
      <c r="J64" s="6">
        <v>5</v>
      </c>
    </row>
    <row r="65" spans="1:10" ht="15" thickBot="1">
      <c r="A65" s="5" t="s">
        <v>186</v>
      </c>
      <c r="B65" s="4">
        <v>45355</v>
      </c>
      <c r="C65" s="3" t="s">
        <v>97</v>
      </c>
      <c r="D65" s="3" t="s">
        <v>108</v>
      </c>
      <c r="E65" s="3" t="s">
        <v>128</v>
      </c>
      <c r="F65" s="3" t="s">
        <v>98</v>
      </c>
      <c r="G65" s="3" t="s">
        <v>99</v>
      </c>
      <c r="H65" s="3" t="s">
        <v>118</v>
      </c>
      <c r="I65" s="3" t="s">
        <v>122</v>
      </c>
      <c r="J65" s="6">
        <v>5</v>
      </c>
    </row>
    <row r="66" spans="1:10" ht="27.6" thickBot="1">
      <c r="A66" s="5" t="s">
        <v>187</v>
      </c>
      <c r="B66" s="4">
        <v>45453</v>
      </c>
      <c r="C66" s="3" t="s">
        <v>136</v>
      </c>
      <c r="D66" s="3" t="s">
        <v>113</v>
      </c>
      <c r="E66" s="3" t="s">
        <v>91</v>
      </c>
      <c r="F66" s="3" t="s">
        <v>92</v>
      </c>
      <c r="G66" s="3" t="s">
        <v>104</v>
      </c>
      <c r="H66" s="3" t="s">
        <v>129</v>
      </c>
      <c r="I66" s="3" t="s">
        <v>110</v>
      </c>
      <c r="J66" s="6">
        <v>1</v>
      </c>
    </row>
    <row r="67" spans="1:10" ht="27.6" thickBot="1">
      <c r="A67" s="5" t="s">
        <v>188</v>
      </c>
      <c r="B67" s="4">
        <v>45301</v>
      </c>
      <c r="C67" s="3" t="s">
        <v>142</v>
      </c>
      <c r="D67" s="3" t="s">
        <v>90</v>
      </c>
      <c r="E67" s="3" t="s">
        <v>137</v>
      </c>
      <c r="F67" s="3" t="s">
        <v>117</v>
      </c>
      <c r="G67" s="3" t="s">
        <v>104</v>
      </c>
      <c r="H67" s="3" t="s">
        <v>129</v>
      </c>
      <c r="I67" s="3" t="s">
        <v>122</v>
      </c>
      <c r="J67" s="6">
        <v>4</v>
      </c>
    </row>
    <row r="68" spans="1:10" ht="27.6" thickBot="1">
      <c r="A68" s="5" t="s">
        <v>189</v>
      </c>
      <c r="B68" s="4">
        <v>45360</v>
      </c>
      <c r="C68" s="3" t="s">
        <v>107</v>
      </c>
      <c r="D68" s="3" t="s">
        <v>133</v>
      </c>
      <c r="E68" s="3" t="s">
        <v>91</v>
      </c>
      <c r="F68" s="3" t="s">
        <v>103</v>
      </c>
      <c r="G68" s="3" t="s">
        <v>93</v>
      </c>
      <c r="H68" s="3" t="s">
        <v>118</v>
      </c>
      <c r="I68" s="3" t="s">
        <v>100</v>
      </c>
      <c r="J68" s="6">
        <v>1</v>
      </c>
    </row>
    <row r="69" spans="1:10" ht="15" thickBot="1">
      <c r="A69" s="5" t="s">
        <v>190</v>
      </c>
      <c r="B69" s="4">
        <v>45367</v>
      </c>
      <c r="C69" s="3" t="s">
        <v>127</v>
      </c>
      <c r="D69" s="3" t="s">
        <v>90</v>
      </c>
      <c r="E69" s="3" t="s">
        <v>128</v>
      </c>
      <c r="F69" s="3" t="s">
        <v>103</v>
      </c>
      <c r="G69" s="3" t="s">
        <v>124</v>
      </c>
      <c r="H69" s="3" t="s">
        <v>118</v>
      </c>
      <c r="I69" s="3" t="s">
        <v>95</v>
      </c>
      <c r="J69" s="6">
        <v>2</v>
      </c>
    </row>
    <row r="70" spans="1:10" ht="15" thickBot="1">
      <c r="A70" s="5" t="s">
        <v>191</v>
      </c>
      <c r="B70" s="4">
        <v>45337</v>
      </c>
      <c r="C70" s="3" t="s">
        <v>112</v>
      </c>
      <c r="D70" s="3" t="s">
        <v>108</v>
      </c>
      <c r="E70" s="3" t="s">
        <v>102</v>
      </c>
      <c r="F70" s="3" t="s">
        <v>92</v>
      </c>
      <c r="G70" s="3" t="s">
        <v>124</v>
      </c>
      <c r="H70" s="3" t="s">
        <v>105</v>
      </c>
      <c r="I70" s="3" t="s">
        <v>122</v>
      </c>
      <c r="J70" s="6">
        <v>1</v>
      </c>
    </row>
    <row r="71" spans="1:10" ht="15" thickBot="1">
      <c r="A71" s="5" t="s">
        <v>192</v>
      </c>
      <c r="B71" s="4">
        <v>45417</v>
      </c>
      <c r="C71" s="3" t="s">
        <v>112</v>
      </c>
      <c r="D71" s="3" t="s">
        <v>90</v>
      </c>
      <c r="E71" s="3" t="s">
        <v>102</v>
      </c>
      <c r="F71" s="3" t="s">
        <v>103</v>
      </c>
      <c r="G71" s="3" t="s">
        <v>99</v>
      </c>
      <c r="H71" s="3" t="s">
        <v>94</v>
      </c>
      <c r="I71" s="3" t="s">
        <v>119</v>
      </c>
      <c r="J71" s="6">
        <v>3</v>
      </c>
    </row>
    <row r="72" spans="1:10" ht="27.6" thickBot="1">
      <c r="A72" s="5" t="s">
        <v>193</v>
      </c>
      <c r="B72" s="4">
        <v>45408</v>
      </c>
      <c r="C72" s="3" t="s">
        <v>97</v>
      </c>
      <c r="D72" s="3" t="s">
        <v>113</v>
      </c>
      <c r="E72" s="3" t="s">
        <v>128</v>
      </c>
      <c r="F72" s="3" t="s">
        <v>117</v>
      </c>
      <c r="G72" s="3" t="s">
        <v>104</v>
      </c>
      <c r="H72" s="3" t="s">
        <v>94</v>
      </c>
      <c r="I72" s="3" t="s">
        <v>95</v>
      </c>
      <c r="J72" s="6">
        <v>0</v>
      </c>
    </row>
    <row r="73" spans="1:10" ht="15" thickBot="1">
      <c r="A73" s="5" t="s">
        <v>194</v>
      </c>
      <c r="B73" s="4">
        <v>45302</v>
      </c>
      <c r="C73" s="3" t="s">
        <v>142</v>
      </c>
      <c r="D73" s="3" t="s">
        <v>113</v>
      </c>
      <c r="E73" s="3" t="s">
        <v>102</v>
      </c>
      <c r="F73" s="3" t="s">
        <v>98</v>
      </c>
      <c r="G73" s="3" t="s">
        <v>99</v>
      </c>
      <c r="H73" s="3" t="s">
        <v>118</v>
      </c>
      <c r="I73" s="3" t="s">
        <v>122</v>
      </c>
      <c r="J73" s="6">
        <v>4</v>
      </c>
    </row>
    <row r="74" spans="1:10" ht="15" thickBot="1">
      <c r="A74" s="5" t="s">
        <v>195</v>
      </c>
      <c r="B74" s="4">
        <v>45430</v>
      </c>
      <c r="C74" s="3" t="s">
        <v>136</v>
      </c>
      <c r="D74" s="3" t="s">
        <v>131</v>
      </c>
      <c r="E74" s="3" t="s">
        <v>116</v>
      </c>
      <c r="F74" s="3" t="s">
        <v>92</v>
      </c>
      <c r="G74" s="3" t="s">
        <v>93</v>
      </c>
      <c r="H74" s="3" t="s">
        <v>118</v>
      </c>
      <c r="I74" s="3" t="s">
        <v>95</v>
      </c>
      <c r="J74" s="6">
        <v>2</v>
      </c>
    </row>
    <row r="75" spans="1:10" ht="15" thickBot="1">
      <c r="A75" s="5" t="s">
        <v>196</v>
      </c>
      <c r="B75" s="4">
        <v>45448</v>
      </c>
      <c r="C75" s="3" t="s">
        <v>97</v>
      </c>
      <c r="D75" s="3" t="s">
        <v>113</v>
      </c>
      <c r="E75" s="3" t="s">
        <v>137</v>
      </c>
      <c r="F75" s="3" t="s">
        <v>117</v>
      </c>
      <c r="G75" s="3" t="s">
        <v>93</v>
      </c>
      <c r="H75" s="3" t="s">
        <v>129</v>
      </c>
      <c r="I75" s="3" t="s">
        <v>119</v>
      </c>
      <c r="J75" s="6">
        <v>4</v>
      </c>
    </row>
    <row r="76" spans="1:10" ht="15" thickBot="1">
      <c r="A76" s="5" t="s">
        <v>197</v>
      </c>
      <c r="B76" s="4">
        <v>45352</v>
      </c>
      <c r="C76" s="3" t="s">
        <v>112</v>
      </c>
      <c r="D76" s="3" t="s">
        <v>113</v>
      </c>
      <c r="E76" s="3" t="s">
        <v>128</v>
      </c>
      <c r="F76" s="3" t="s">
        <v>103</v>
      </c>
      <c r="G76" s="3" t="s">
        <v>93</v>
      </c>
      <c r="H76" s="3" t="s">
        <v>118</v>
      </c>
      <c r="I76" s="3" t="s">
        <v>114</v>
      </c>
      <c r="J76" s="6">
        <v>1</v>
      </c>
    </row>
    <row r="77" spans="1:10" ht="15" thickBot="1">
      <c r="A77" s="5" t="s">
        <v>198</v>
      </c>
      <c r="B77" s="4">
        <v>45460</v>
      </c>
      <c r="C77" s="3" t="s">
        <v>112</v>
      </c>
      <c r="D77" s="3" t="s">
        <v>113</v>
      </c>
      <c r="E77" s="3" t="s">
        <v>116</v>
      </c>
      <c r="F77" s="3" t="s">
        <v>92</v>
      </c>
      <c r="G77" s="3" t="s">
        <v>124</v>
      </c>
      <c r="H77" s="3" t="s">
        <v>105</v>
      </c>
      <c r="I77" s="3" t="s">
        <v>119</v>
      </c>
      <c r="J77" s="6">
        <v>3</v>
      </c>
    </row>
    <row r="78" spans="1:10" ht="27.6" thickBot="1">
      <c r="A78" s="5" t="s">
        <v>199</v>
      </c>
      <c r="B78" s="4">
        <v>45399</v>
      </c>
      <c r="C78" s="3" t="s">
        <v>142</v>
      </c>
      <c r="D78" s="3" t="s">
        <v>133</v>
      </c>
      <c r="E78" s="3" t="s">
        <v>137</v>
      </c>
      <c r="F78" s="3" t="s">
        <v>117</v>
      </c>
      <c r="G78" s="3" t="s">
        <v>99</v>
      </c>
      <c r="H78" s="3" t="s">
        <v>94</v>
      </c>
      <c r="I78" s="3" t="s">
        <v>100</v>
      </c>
      <c r="J78" s="6">
        <v>4</v>
      </c>
    </row>
    <row r="79" spans="1:10" ht="15" thickBot="1">
      <c r="A79" s="5" t="s">
        <v>200</v>
      </c>
      <c r="B79" s="4">
        <v>45437</v>
      </c>
      <c r="C79" s="3" t="s">
        <v>112</v>
      </c>
      <c r="D79" s="3" t="s">
        <v>131</v>
      </c>
      <c r="E79" s="3" t="s">
        <v>109</v>
      </c>
      <c r="F79" s="3" t="s">
        <v>117</v>
      </c>
      <c r="G79" s="3" t="s">
        <v>93</v>
      </c>
      <c r="H79" s="3" t="s">
        <v>105</v>
      </c>
      <c r="I79" s="3" t="s">
        <v>114</v>
      </c>
      <c r="J79" s="6">
        <v>4</v>
      </c>
    </row>
    <row r="80" spans="1:10" ht="27.6" thickBot="1">
      <c r="A80" s="5" t="s">
        <v>201</v>
      </c>
      <c r="B80" s="4">
        <v>45330</v>
      </c>
      <c r="C80" s="3" t="s">
        <v>136</v>
      </c>
      <c r="D80" s="3" t="s">
        <v>131</v>
      </c>
      <c r="E80" s="3" t="s">
        <v>109</v>
      </c>
      <c r="F80" s="3" t="s">
        <v>92</v>
      </c>
      <c r="G80" s="3" t="s">
        <v>104</v>
      </c>
      <c r="H80" s="3" t="s">
        <v>118</v>
      </c>
      <c r="I80" s="3" t="s">
        <v>110</v>
      </c>
      <c r="J80" s="6">
        <v>2</v>
      </c>
    </row>
    <row r="81" spans="1:10" ht="15" thickBot="1">
      <c r="A81" s="5" t="s">
        <v>202</v>
      </c>
      <c r="B81" s="4">
        <v>45382</v>
      </c>
      <c r="C81" s="3" t="s">
        <v>136</v>
      </c>
      <c r="D81" s="3" t="s">
        <v>133</v>
      </c>
      <c r="E81" s="3" t="s">
        <v>116</v>
      </c>
      <c r="F81" s="3" t="s">
        <v>92</v>
      </c>
      <c r="G81" s="3" t="s">
        <v>99</v>
      </c>
      <c r="H81" s="3" t="s">
        <v>105</v>
      </c>
      <c r="I81" s="3" t="s">
        <v>95</v>
      </c>
      <c r="J81" s="6">
        <v>0</v>
      </c>
    </row>
    <row r="82" spans="1:10" ht="15" thickBot="1">
      <c r="A82" s="5" t="s">
        <v>203</v>
      </c>
      <c r="B82" s="4">
        <v>45329</v>
      </c>
      <c r="C82" s="3" t="s">
        <v>97</v>
      </c>
      <c r="D82" s="3" t="s">
        <v>108</v>
      </c>
      <c r="E82" s="3" t="s">
        <v>137</v>
      </c>
      <c r="F82" s="3" t="s">
        <v>92</v>
      </c>
      <c r="G82" s="3" t="s">
        <v>124</v>
      </c>
      <c r="H82" s="3" t="s">
        <v>118</v>
      </c>
      <c r="I82" s="3" t="s">
        <v>95</v>
      </c>
      <c r="J82" s="6">
        <v>5</v>
      </c>
    </row>
    <row r="83" spans="1:10" ht="27.6" thickBot="1">
      <c r="A83" s="5" t="s">
        <v>204</v>
      </c>
      <c r="B83" s="4">
        <v>45375</v>
      </c>
      <c r="C83" s="3" t="s">
        <v>127</v>
      </c>
      <c r="D83" s="3" t="s">
        <v>90</v>
      </c>
      <c r="E83" s="3" t="s">
        <v>91</v>
      </c>
      <c r="F83" s="3" t="s">
        <v>117</v>
      </c>
      <c r="G83" s="3" t="s">
        <v>93</v>
      </c>
      <c r="H83" s="3" t="s">
        <v>118</v>
      </c>
      <c r="I83" s="3" t="s">
        <v>100</v>
      </c>
      <c r="J83" s="6">
        <v>4</v>
      </c>
    </row>
    <row r="84" spans="1:10" ht="27.6" thickBot="1">
      <c r="A84" s="5" t="s">
        <v>205</v>
      </c>
      <c r="B84" s="4">
        <v>45320</v>
      </c>
      <c r="C84" s="3" t="s">
        <v>121</v>
      </c>
      <c r="D84" s="3" t="s">
        <v>108</v>
      </c>
      <c r="E84" s="3" t="s">
        <v>116</v>
      </c>
      <c r="F84" s="3" t="s">
        <v>92</v>
      </c>
      <c r="G84" s="3" t="s">
        <v>93</v>
      </c>
      <c r="H84" s="3" t="s">
        <v>129</v>
      </c>
      <c r="I84" s="3" t="s">
        <v>100</v>
      </c>
      <c r="J84" s="6">
        <v>0</v>
      </c>
    </row>
    <row r="85" spans="1:10" ht="15" thickBot="1">
      <c r="A85" s="5" t="s">
        <v>206</v>
      </c>
      <c r="B85" s="4">
        <v>45404</v>
      </c>
      <c r="C85" s="3" t="s">
        <v>127</v>
      </c>
      <c r="D85" s="3" t="s">
        <v>108</v>
      </c>
      <c r="E85" s="3" t="s">
        <v>137</v>
      </c>
      <c r="F85" s="3" t="s">
        <v>103</v>
      </c>
      <c r="G85" s="3" t="s">
        <v>124</v>
      </c>
      <c r="H85" s="3" t="s">
        <v>105</v>
      </c>
      <c r="I85" s="3" t="s">
        <v>95</v>
      </c>
      <c r="J85" s="6">
        <v>3</v>
      </c>
    </row>
    <row r="86" spans="1:10" ht="15" thickBot="1">
      <c r="A86" s="5" t="s">
        <v>207</v>
      </c>
      <c r="B86" s="4">
        <v>45424</v>
      </c>
      <c r="C86" s="3" t="s">
        <v>97</v>
      </c>
      <c r="D86" s="3" t="s">
        <v>131</v>
      </c>
      <c r="E86" s="3" t="s">
        <v>128</v>
      </c>
      <c r="F86" s="3" t="s">
        <v>103</v>
      </c>
      <c r="G86" s="3" t="s">
        <v>99</v>
      </c>
      <c r="H86" s="3" t="s">
        <v>94</v>
      </c>
      <c r="I86" s="3" t="s">
        <v>114</v>
      </c>
      <c r="J86" s="6">
        <v>4</v>
      </c>
    </row>
    <row r="87" spans="1:10" ht="27.6" thickBot="1">
      <c r="A87" s="5" t="s">
        <v>208</v>
      </c>
      <c r="B87" s="4">
        <v>45319</v>
      </c>
      <c r="C87" s="3" t="s">
        <v>107</v>
      </c>
      <c r="D87" s="3" t="s">
        <v>90</v>
      </c>
      <c r="E87" s="3" t="s">
        <v>128</v>
      </c>
      <c r="F87" s="3" t="s">
        <v>117</v>
      </c>
      <c r="G87" s="3" t="s">
        <v>104</v>
      </c>
      <c r="H87" s="3" t="s">
        <v>129</v>
      </c>
      <c r="I87" s="3" t="s">
        <v>110</v>
      </c>
      <c r="J87" s="6">
        <v>2</v>
      </c>
    </row>
    <row r="88" spans="1:10" ht="15" thickBot="1">
      <c r="A88" s="5" t="s">
        <v>209</v>
      </c>
      <c r="B88" s="4">
        <v>45308</v>
      </c>
      <c r="C88" s="3" t="s">
        <v>121</v>
      </c>
      <c r="D88" s="3" t="s">
        <v>113</v>
      </c>
      <c r="E88" s="3" t="s">
        <v>109</v>
      </c>
      <c r="F88" s="3" t="s">
        <v>98</v>
      </c>
      <c r="G88" s="3" t="s">
        <v>124</v>
      </c>
      <c r="H88" s="3" t="s">
        <v>129</v>
      </c>
      <c r="I88" s="3" t="s">
        <v>122</v>
      </c>
      <c r="J88" s="6">
        <v>3</v>
      </c>
    </row>
    <row r="89" spans="1:10" ht="15" thickBot="1">
      <c r="A89" s="5" t="s">
        <v>210</v>
      </c>
      <c r="B89" s="4">
        <v>45302</v>
      </c>
      <c r="C89" s="3" t="s">
        <v>142</v>
      </c>
      <c r="D89" s="3" t="s">
        <v>113</v>
      </c>
      <c r="E89" s="3" t="s">
        <v>116</v>
      </c>
      <c r="F89" s="3" t="s">
        <v>92</v>
      </c>
      <c r="G89" s="3" t="s">
        <v>93</v>
      </c>
      <c r="H89" s="3" t="s">
        <v>129</v>
      </c>
      <c r="I89" s="3" t="s">
        <v>119</v>
      </c>
      <c r="J89" s="6">
        <v>2</v>
      </c>
    </row>
    <row r="90" spans="1:10" ht="15" thickBot="1">
      <c r="A90" s="5" t="s">
        <v>211</v>
      </c>
      <c r="B90" s="4">
        <v>45457</v>
      </c>
      <c r="C90" s="3" t="s">
        <v>127</v>
      </c>
      <c r="D90" s="3" t="s">
        <v>113</v>
      </c>
      <c r="E90" s="3" t="s">
        <v>128</v>
      </c>
      <c r="F90" s="3" t="s">
        <v>103</v>
      </c>
      <c r="G90" s="3" t="s">
        <v>124</v>
      </c>
      <c r="H90" s="3" t="s">
        <v>94</v>
      </c>
      <c r="I90" s="3" t="s">
        <v>110</v>
      </c>
      <c r="J90" s="6">
        <v>1</v>
      </c>
    </row>
    <row r="91" spans="1:10" ht="15" thickBot="1">
      <c r="A91" s="5" t="s">
        <v>212</v>
      </c>
      <c r="B91" s="4">
        <v>45373</v>
      </c>
      <c r="C91" s="3" t="s">
        <v>89</v>
      </c>
      <c r="D91" s="3" t="s">
        <v>131</v>
      </c>
      <c r="E91" s="3" t="s">
        <v>102</v>
      </c>
      <c r="F91" s="3" t="s">
        <v>103</v>
      </c>
      <c r="G91" s="3" t="s">
        <v>93</v>
      </c>
      <c r="H91" s="3" t="s">
        <v>94</v>
      </c>
      <c r="I91" s="3" t="s">
        <v>114</v>
      </c>
      <c r="J91" s="6">
        <v>2</v>
      </c>
    </row>
    <row r="92" spans="1:10" ht="15" thickBot="1">
      <c r="A92" s="5" t="s">
        <v>213</v>
      </c>
      <c r="B92" s="4">
        <v>45445</v>
      </c>
      <c r="C92" s="3" t="s">
        <v>136</v>
      </c>
      <c r="D92" s="3" t="s">
        <v>131</v>
      </c>
      <c r="E92" s="3" t="s">
        <v>91</v>
      </c>
      <c r="F92" s="3" t="s">
        <v>98</v>
      </c>
      <c r="G92" s="3" t="s">
        <v>93</v>
      </c>
      <c r="H92" s="3" t="s">
        <v>118</v>
      </c>
      <c r="I92" s="3" t="s">
        <v>122</v>
      </c>
      <c r="J92" s="6">
        <v>0</v>
      </c>
    </row>
    <row r="93" spans="1:10" ht="15" thickBot="1">
      <c r="A93" s="5" t="s">
        <v>214</v>
      </c>
      <c r="B93" s="4">
        <v>45294</v>
      </c>
      <c r="C93" s="3" t="s">
        <v>97</v>
      </c>
      <c r="D93" s="3" t="s">
        <v>108</v>
      </c>
      <c r="E93" s="3" t="s">
        <v>116</v>
      </c>
      <c r="F93" s="3" t="s">
        <v>92</v>
      </c>
      <c r="G93" s="3" t="s">
        <v>93</v>
      </c>
      <c r="H93" s="3" t="s">
        <v>129</v>
      </c>
      <c r="I93" s="3" t="s">
        <v>95</v>
      </c>
      <c r="J93" s="6">
        <v>1</v>
      </c>
    </row>
    <row r="94" spans="1:10" ht="27.6" thickBot="1">
      <c r="A94" s="5" t="s">
        <v>215</v>
      </c>
      <c r="B94" s="4">
        <v>45458</v>
      </c>
      <c r="C94" s="3" t="s">
        <v>142</v>
      </c>
      <c r="D94" s="3" t="s">
        <v>133</v>
      </c>
      <c r="E94" s="3" t="s">
        <v>91</v>
      </c>
      <c r="F94" s="3" t="s">
        <v>98</v>
      </c>
      <c r="G94" s="3" t="s">
        <v>104</v>
      </c>
      <c r="H94" s="3" t="s">
        <v>105</v>
      </c>
      <c r="I94" s="3" t="s">
        <v>122</v>
      </c>
      <c r="J94" s="6">
        <v>4</v>
      </c>
    </row>
    <row r="95" spans="1:10" ht="27.6" thickBot="1">
      <c r="A95" s="5" t="s">
        <v>216</v>
      </c>
      <c r="B95" s="4">
        <v>45369</v>
      </c>
      <c r="C95" s="3" t="s">
        <v>89</v>
      </c>
      <c r="D95" s="3" t="s">
        <v>108</v>
      </c>
      <c r="E95" s="3" t="s">
        <v>137</v>
      </c>
      <c r="F95" s="3" t="s">
        <v>92</v>
      </c>
      <c r="G95" s="3" t="s">
        <v>99</v>
      </c>
      <c r="H95" s="3" t="s">
        <v>105</v>
      </c>
      <c r="I95" s="3" t="s">
        <v>100</v>
      </c>
      <c r="J95" s="6">
        <v>1</v>
      </c>
    </row>
    <row r="96" spans="1:10" ht="27.6" thickBot="1">
      <c r="A96" s="5" t="s">
        <v>217</v>
      </c>
      <c r="B96" s="4">
        <v>45389</v>
      </c>
      <c r="C96" s="3" t="s">
        <v>107</v>
      </c>
      <c r="D96" s="3" t="s">
        <v>133</v>
      </c>
      <c r="E96" s="3" t="s">
        <v>128</v>
      </c>
      <c r="F96" s="3" t="s">
        <v>98</v>
      </c>
      <c r="G96" s="3" t="s">
        <v>124</v>
      </c>
      <c r="H96" s="3" t="s">
        <v>129</v>
      </c>
      <c r="I96" s="3" t="s">
        <v>100</v>
      </c>
      <c r="J96" s="6">
        <v>5</v>
      </c>
    </row>
    <row r="97" spans="1:10" ht="27.6" thickBot="1">
      <c r="A97" s="5" t="s">
        <v>218</v>
      </c>
      <c r="B97" s="4">
        <v>45456</v>
      </c>
      <c r="C97" s="3" t="s">
        <v>142</v>
      </c>
      <c r="D97" s="3" t="s">
        <v>113</v>
      </c>
      <c r="E97" s="3" t="s">
        <v>102</v>
      </c>
      <c r="F97" s="3" t="s">
        <v>92</v>
      </c>
      <c r="G97" s="3" t="s">
        <v>99</v>
      </c>
      <c r="H97" s="3" t="s">
        <v>105</v>
      </c>
      <c r="I97" s="3" t="s">
        <v>100</v>
      </c>
      <c r="J97" s="6">
        <v>0</v>
      </c>
    </row>
    <row r="98" spans="1:10" ht="15" thickBot="1">
      <c r="A98" s="5" t="s">
        <v>219</v>
      </c>
      <c r="B98" s="4">
        <v>45342</v>
      </c>
      <c r="C98" s="3" t="s">
        <v>97</v>
      </c>
      <c r="D98" s="3" t="s">
        <v>108</v>
      </c>
      <c r="E98" s="3" t="s">
        <v>102</v>
      </c>
      <c r="F98" s="3" t="s">
        <v>92</v>
      </c>
      <c r="G98" s="3" t="s">
        <v>99</v>
      </c>
      <c r="H98" s="3" t="s">
        <v>118</v>
      </c>
      <c r="I98" s="3" t="s">
        <v>119</v>
      </c>
      <c r="J98" s="6">
        <v>3</v>
      </c>
    </row>
    <row r="99" spans="1:10" ht="27.6" thickBot="1">
      <c r="A99" s="5" t="s">
        <v>220</v>
      </c>
      <c r="B99" s="4">
        <v>45313</v>
      </c>
      <c r="C99" s="3" t="s">
        <v>112</v>
      </c>
      <c r="D99" s="3" t="s">
        <v>113</v>
      </c>
      <c r="E99" s="3" t="s">
        <v>116</v>
      </c>
      <c r="F99" s="3" t="s">
        <v>92</v>
      </c>
      <c r="G99" s="3" t="s">
        <v>104</v>
      </c>
      <c r="H99" s="3" t="s">
        <v>118</v>
      </c>
      <c r="I99" s="3" t="s">
        <v>119</v>
      </c>
      <c r="J99" s="6">
        <v>5</v>
      </c>
    </row>
    <row r="100" spans="1:10" ht="15" thickBot="1">
      <c r="A100" s="5" t="s">
        <v>221</v>
      </c>
      <c r="B100" s="4">
        <v>45403</v>
      </c>
      <c r="C100" s="3" t="s">
        <v>121</v>
      </c>
      <c r="D100" s="3" t="s">
        <v>131</v>
      </c>
      <c r="E100" s="3" t="s">
        <v>109</v>
      </c>
      <c r="F100" s="3" t="s">
        <v>103</v>
      </c>
      <c r="G100" s="3" t="s">
        <v>99</v>
      </c>
      <c r="H100" s="3" t="s">
        <v>105</v>
      </c>
      <c r="I100" s="3" t="s">
        <v>119</v>
      </c>
      <c r="J100" s="6">
        <v>3</v>
      </c>
    </row>
    <row r="101" spans="1:10" ht="15" thickBot="1">
      <c r="A101" s="5" t="s">
        <v>222</v>
      </c>
      <c r="B101" s="4">
        <v>45390</v>
      </c>
      <c r="C101" s="3" t="s">
        <v>121</v>
      </c>
      <c r="D101" s="3" t="s">
        <v>133</v>
      </c>
      <c r="E101" s="3" t="s">
        <v>128</v>
      </c>
      <c r="F101" s="3" t="s">
        <v>103</v>
      </c>
      <c r="G101" s="3" t="s">
        <v>124</v>
      </c>
      <c r="H101" s="3" t="s">
        <v>129</v>
      </c>
      <c r="I101" s="3" t="s">
        <v>122</v>
      </c>
      <c r="J101" s="6">
        <v>0</v>
      </c>
    </row>
    <row r="102" spans="1:10" ht="15" thickBot="1">
      <c r="A102" s="5" t="s">
        <v>223</v>
      </c>
      <c r="B102" s="4">
        <v>45464</v>
      </c>
      <c r="C102" s="3" t="s">
        <v>142</v>
      </c>
      <c r="D102" s="3" t="s">
        <v>90</v>
      </c>
      <c r="E102" s="3" t="s">
        <v>91</v>
      </c>
      <c r="F102" s="3" t="s">
        <v>92</v>
      </c>
      <c r="G102" s="3" t="s">
        <v>124</v>
      </c>
      <c r="H102" s="3" t="s">
        <v>118</v>
      </c>
      <c r="I102" s="3" t="s">
        <v>119</v>
      </c>
      <c r="J102" s="6">
        <v>4</v>
      </c>
    </row>
    <row r="103" spans="1:10">
      <c r="A103" s="10" t="s">
        <v>224</v>
      </c>
      <c r="B103" s="11">
        <v>45317</v>
      </c>
      <c r="C103" s="12" t="s">
        <v>127</v>
      </c>
      <c r="D103" s="12" t="s">
        <v>133</v>
      </c>
      <c r="E103" s="12" t="s">
        <v>128</v>
      </c>
      <c r="F103" s="12" t="s">
        <v>103</v>
      </c>
      <c r="G103" s="12" t="s">
        <v>99</v>
      </c>
      <c r="H103" s="12" t="s">
        <v>129</v>
      </c>
      <c r="I103" s="12" t="s">
        <v>95</v>
      </c>
      <c r="J103" s="13">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DD32D-97F3-4023-8F5D-619CB9689A8B}">
  <sheetPr codeName="Sheet4"/>
  <dimension ref="A3:V27"/>
  <sheetViews>
    <sheetView showGridLines="0" zoomScale="52" workbookViewId="0">
      <selection activeCell="S40" sqref="S40"/>
    </sheetView>
  </sheetViews>
  <sheetFormatPr defaultRowHeight="14.4"/>
  <cols>
    <col min="1" max="1" width="15.44140625" bestFit="1" customWidth="1"/>
    <col min="2" max="2" width="19.109375" bestFit="1" customWidth="1"/>
    <col min="11" max="11" width="14.5546875" bestFit="1" customWidth="1"/>
    <col min="12" max="12" width="19.109375" bestFit="1" customWidth="1"/>
    <col min="21" max="21" width="18.6640625" bestFit="1" customWidth="1"/>
    <col min="22" max="22" width="19.109375" bestFit="1" customWidth="1"/>
  </cols>
  <sheetData>
    <row r="3" spans="1:22">
      <c r="A3" s="14" t="s">
        <v>225</v>
      </c>
      <c r="B3" t="s">
        <v>227</v>
      </c>
      <c r="K3" s="14" t="s">
        <v>225</v>
      </c>
      <c r="L3" t="s">
        <v>227</v>
      </c>
      <c r="U3" s="14" t="s">
        <v>225</v>
      </c>
      <c r="V3" t="s">
        <v>227</v>
      </c>
    </row>
    <row r="4" spans="1:22">
      <c r="A4" s="15" t="s">
        <v>105</v>
      </c>
      <c r="B4">
        <v>24</v>
      </c>
      <c r="K4" s="15" t="s">
        <v>127</v>
      </c>
      <c r="L4">
        <v>9</v>
      </c>
      <c r="U4" s="15" t="s">
        <v>110</v>
      </c>
      <c r="V4">
        <v>15</v>
      </c>
    </row>
    <row r="5" spans="1:22">
      <c r="A5" s="15" t="s">
        <v>118</v>
      </c>
      <c r="B5">
        <v>26</v>
      </c>
      <c r="K5" s="15" t="s">
        <v>112</v>
      </c>
      <c r="L5">
        <v>14</v>
      </c>
      <c r="U5" s="15" t="s">
        <v>100</v>
      </c>
      <c r="V5">
        <v>14</v>
      </c>
    </row>
    <row r="6" spans="1:22">
      <c r="A6" s="15" t="s">
        <v>94</v>
      </c>
      <c r="B6">
        <v>22</v>
      </c>
      <c r="K6" s="15" t="s">
        <v>136</v>
      </c>
      <c r="L6">
        <v>12</v>
      </c>
      <c r="U6" s="15" t="s">
        <v>119</v>
      </c>
      <c r="V6">
        <v>20</v>
      </c>
    </row>
    <row r="7" spans="1:22">
      <c r="A7" s="15" t="s">
        <v>129</v>
      </c>
      <c r="B7">
        <v>28</v>
      </c>
      <c r="K7" s="15" t="s">
        <v>121</v>
      </c>
      <c r="L7">
        <v>9</v>
      </c>
      <c r="U7" s="15" t="s">
        <v>95</v>
      </c>
      <c r="V7">
        <v>17</v>
      </c>
    </row>
    <row r="8" spans="1:22">
      <c r="A8" s="15" t="s">
        <v>226</v>
      </c>
      <c r="B8">
        <v>100</v>
      </c>
      <c r="K8" s="15" t="s">
        <v>89</v>
      </c>
      <c r="L8">
        <v>17</v>
      </c>
      <c r="U8" s="15" t="s">
        <v>122</v>
      </c>
      <c r="V8">
        <v>20</v>
      </c>
    </row>
    <row r="9" spans="1:22">
      <c r="K9" s="15" t="s">
        <v>142</v>
      </c>
      <c r="L9">
        <v>13</v>
      </c>
      <c r="U9" s="15" t="s">
        <v>114</v>
      </c>
      <c r="V9">
        <v>14</v>
      </c>
    </row>
    <row r="10" spans="1:22">
      <c r="K10" s="15" t="s">
        <v>97</v>
      </c>
      <c r="L10">
        <v>15</v>
      </c>
      <c r="U10" s="15" t="s">
        <v>226</v>
      </c>
      <c r="V10">
        <v>100</v>
      </c>
    </row>
    <row r="11" spans="1:22">
      <c r="K11" s="15" t="s">
        <v>107</v>
      </c>
      <c r="L11">
        <v>11</v>
      </c>
    </row>
    <row r="12" spans="1:22">
      <c r="K12" s="15" t="s">
        <v>226</v>
      </c>
      <c r="L12">
        <v>100</v>
      </c>
    </row>
    <row r="19" spans="1:12">
      <c r="A19" s="14" t="s">
        <v>225</v>
      </c>
      <c r="B19" t="s">
        <v>227</v>
      </c>
    </row>
    <row r="20" spans="1:12">
      <c r="A20" s="15" t="s">
        <v>91</v>
      </c>
      <c r="B20">
        <v>19</v>
      </c>
    </row>
    <row r="21" spans="1:12">
      <c r="A21" s="15" t="s">
        <v>102</v>
      </c>
      <c r="B21">
        <v>15</v>
      </c>
    </row>
    <row r="22" spans="1:12">
      <c r="A22" s="15" t="s">
        <v>137</v>
      </c>
      <c r="B22">
        <v>11</v>
      </c>
      <c r="K22" s="14" t="s">
        <v>225</v>
      </c>
      <c r="L22" t="s">
        <v>227</v>
      </c>
    </row>
    <row r="23" spans="1:12">
      <c r="A23" s="15" t="s">
        <v>116</v>
      </c>
      <c r="B23">
        <v>22</v>
      </c>
      <c r="K23" s="15" t="s">
        <v>92</v>
      </c>
      <c r="L23">
        <v>30</v>
      </c>
    </row>
    <row r="24" spans="1:12">
      <c r="A24" s="15" t="s">
        <v>128</v>
      </c>
      <c r="B24">
        <v>21</v>
      </c>
      <c r="K24" s="15" t="s">
        <v>98</v>
      </c>
      <c r="L24">
        <v>23</v>
      </c>
    </row>
    <row r="25" spans="1:12">
      <c r="A25" s="15" t="s">
        <v>109</v>
      </c>
      <c r="B25">
        <v>12</v>
      </c>
      <c r="K25" s="15" t="s">
        <v>117</v>
      </c>
      <c r="L25">
        <v>22</v>
      </c>
    </row>
    <row r="26" spans="1:12">
      <c r="A26" s="15" t="s">
        <v>226</v>
      </c>
      <c r="B26">
        <v>100</v>
      </c>
      <c r="K26" s="15" t="s">
        <v>103</v>
      </c>
      <c r="L26">
        <v>25</v>
      </c>
    </row>
    <row r="27" spans="1:12">
      <c r="K27" s="15" t="s">
        <v>226</v>
      </c>
      <c r="L27">
        <v>100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675D0-273E-4936-8AB7-84C45829A399}">
  <sheetPr codeName="Sheet5"/>
  <dimension ref="A1:C15"/>
  <sheetViews>
    <sheetView zoomScale="84" workbookViewId="0">
      <selection activeCell="D21" sqref="D21"/>
    </sheetView>
  </sheetViews>
  <sheetFormatPr defaultRowHeight="14.4"/>
  <cols>
    <col min="1" max="1" width="12.109375" customWidth="1"/>
    <col min="2" max="2" width="15.77734375" customWidth="1"/>
    <col min="3" max="3" width="13.33203125" customWidth="1"/>
  </cols>
  <sheetData>
    <row r="1" spans="1:3">
      <c r="A1" t="s">
        <v>228</v>
      </c>
    </row>
    <row r="5" spans="1:3">
      <c r="A5" t="s">
        <v>229</v>
      </c>
      <c r="B5" t="s">
        <v>230</v>
      </c>
      <c r="C5" s="18" t="s">
        <v>231</v>
      </c>
    </row>
    <row r="6" spans="1:3">
      <c r="A6" t="s">
        <v>232</v>
      </c>
      <c r="B6" t="s">
        <v>233</v>
      </c>
      <c r="C6" s="16">
        <v>8</v>
      </c>
    </row>
    <row r="7" spans="1:3">
      <c r="A7" t="s">
        <v>234</v>
      </c>
      <c r="B7" t="s">
        <v>235</v>
      </c>
      <c r="C7" s="17">
        <v>65</v>
      </c>
    </row>
    <row r="8" spans="1:3">
      <c r="A8" t="s">
        <v>236</v>
      </c>
      <c r="B8" t="s">
        <v>237</v>
      </c>
      <c r="C8">
        <v>15</v>
      </c>
    </row>
    <row r="9" spans="1:3">
      <c r="A9" t="s">
        <v>238</v>
      </c>
      <c r="B9" t="s">
        <v>239</v>
      </c>
      <c r="C9" s="17">
        <v>55</v>
      </c>
    </row>
    <row r="10" spans="1:3">
      <c r="A10" t="s">
        <v>240</v>
      </c>
      <c r="B10" t="s">
        <v>241</v>
      </c>
      <c r="C10" s="16">
        <v>6</v>
      </c>
    </row>
    <row r="11" spans="1:3">
      <c r="A11" t="s">
        <v>242</v>
      </c>
      <c r="B11" t="s">
        <v>243</v>
      </c>
      <c r="C11" s="17">
        <v>120</v>
      </c>
    </row>
    <row r="12" spans="1:3">
      <c r="A12" t="s">
        <v>244</v>
      </c>
      <c r="B12" t="s">
        <v>245</v>
      </c>
      <c r="C12" s="16">
        <v>9</v>
      </c>
    </row>
    <row r="13" spans="1:3">
      <c r="A13" t="s">
        <v>246</v>
      </c>
      <c r="B13" t="s">
        <v>247</v>
      </c>
      <c r="C13">
        <v>30</v>
      </c>
    </row>
    <row r="14" spans="1:3">
      <c r="A14" t="s">
        <v>248</v>
      </c>
      <c r="B14" t="s">
        <v>249</v>
      </c>
      <c r="C14" s="17">
        <v>52</v>
      </c>
    </row>
    <row r="15" spans="1:3">
      <c r="A15" t="s">
        <v>250</v>
      </c>
      <c r="B15" t="s">
        <v>251</v>
      </c>
      <c r="C15" s="16">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04D05-2DD3-4085-A005-EE7F16AC445E}">
  <sheetPr codeName="Sheet6"/>
  <dimension ref="A1:O52"/>
  <sheetViews>
    <sheetView zoomScale="56" workbookViewId="0">
      <selection activeCell="O12" sqref="O12"/>
    </sheetView>
  </sheetViews>
  <sheetFormatPr defaultRowHeight="14.4"/>
  <cols>
    <col min="1" max="1" width="13.109375" customWidth="1"/>
    <col min="2" max="2" width="12" customWidth="1"/>
    <col min="3" max="3" width="19.109375" customWidth="1"/>
    <col min="4" max="4" width="13.44140625" customWidth="1"/>
    <col min="5" max="5" width="16.21875" customWidth="1"/>
    <col min="6" max="6" width="13.77734375" customWidth="1"/>
    <col min="7" max="7" width="10.88671875" customWidth="1"/>
    <col min="8" max="8" width="14.21875" customWidth="1"/>
    <col min="9" max="9" width="17.109375" customWidth="1"/>
    <col min="10" max="10" width="17.77734375" customWidth="1"/>
    <col min="11" max="11" width="18.109375" customWidth="1"/>
    <col min="12" max="12" width="19.21875" customWidth="1"/>
    <col min="13" max="13" width="8.88671875" customWidth="1"/>
    <col min="14" max="14" width="15.109375" customWidth="1"/>
  </cols>
  <sheetData>
    <row r="1" spans="1:15">
      <c r="A1" t="s">
        <v>252</v>
      </c>
    </row>
    <row r="2" spans="1:15" ht="15" thickBot="1"/>
    <row r="3" spans="1:15" ht="15" thickBot="1">
      <c r="A3" s="19" t="s">
        <v>253</v>
      </c>
      <c r="B3" s="20" t="s">
        <v>79</v>
      </c>
      <c r="C3" s="20" t="s">
        <v>254</v>
      </c>
      <c r="D3" s="20" t="s">
        <v>255</v>
      </c>
      <c r="E3" s="20" t="s">
        <v>256</v>
      </c>
      <c r="F3" s="20" t="s">
        <v>230</v>
      </c>
      <c r="G3" s="20" t="s">
        <v>257</v>
      </c>
      <c r="H3" s="20" t="s">
        <v>258</v>
      </c>
      <c r="I3" s="20" t="s">
        <v>259</v>
      </c>
      <c r="J3" s="20" t="s">
        <v>260</v>
      </c>
      <c r="K3" s="20" t="s">
        <v>261</v>
      </c>
      <c r="L3" s="20" t="s">
        <v>262</v>
      </c>
    </row>
    <row r="4" spans="1:15" ht="15" thickBot="1">
      <c r="A4" s="21">
        <v>1001</v>
      </c>
      <c r="B4" s="22">
        <v>45658</v>
      </c>
      <c r="C4" s="23" t="s">
        <v>62</v>
      </c>
      <c r="D4" s="23" t="s">
        <v>263</v>
      </c>
      <c r="E4" s="23" t="s">
        <v>264</v>
      </c>
      <c r="F4" s="23" t="s">
        <v>265</v>
      </c>
      <c r="G4" s="21">
        <v>10</v>
      </c>
      <c r="H4" s="21">
        <v>999</v>
      </c>
      <c r="I4" s="21">
        <v>999</v>
      </c>
      <c r="J4" s="21">
        <v>998001</v>
      </c>
      <c r="K4" s="21">
        <v>28</v>
      </c>
      <c r="L4" s="23" t="s">
        <v>266</v>
      </c>
    </row>
    <row r="5" spans="1:15" ht="15" thickBot="1">
      <c r="A5" s="21">
        <v>1003</v>
      </c>
      <c r="B5" s="22">
        <v>45660</v>
      </c>
      <c r="C5" s="23" t="s">
        <v>267</v>
      </c>
      <c r="D5" s="23" t="s">
        <v>268</v>
      </c>
      <c r="E5" s="23" t="s">
        <v>269</v>
      </c>
      <c r="F5" s="23" t="s">
        <v>270</v>
      </c>
      <c r="G5" s="21">
        <v>3</v>
      </c>
      <c r="H5" s="21">
        <v>1999</v>
      </c>
      <c r="I5" s="21">
        <v>5997</v>
      </c>
      <c r="J5" s="21">
        <v>25</v>
      </c>
      <c r="K5" s="21">
        <v>40</v>
      </c>
      <c r="L5" s="23" t="s">
        <v>271</v>
      </c>
    </row>
    <row r="6" spans="1:15" ht="29.4" thickBot="1">
      <c r="A6" s="21">
        <v>1004</v>
      </c>
      <c r="B6" s="22">
        <v>45661</v>
      </c>
      <c r="C6" s="23" t="s">
        <v>272</v>
      </c>
      <c r="D6" s="23" t="s">
        <v>273</v>
      </c>
      <c r="E6" s="23" t="s">
        <v>264</v>
      </c>
      <c r="F6" s="23" t="s">
        <v>274</v>
      </c>
      <c r="G6" s="21">
        <v>6</v>
      </c>
      <c r="H6" s="21">
        <v>2499</v>
      </c>
      <c r="I6" s="21">
        <v>9996</v>
      </c>
      <c r="J6" s="21">
        <v>30</v>
      </c>
      <c r="K6" s="21">
        <v>24</v>
      </c>
      <c r="L6" s="23" t="s">
        <v>275</v>
      </c>
    </row>
    <row r="7" spans="1:15" ht="15" thickBot="1">
      <c r="A7" s="21">
        <v>1005</v>
      </c>
      <c r="B7" s="22">
        <v>45662</v>
      </c>
      <c r="C7" s="23" t="s">
        <v>276</v>
      </c>
      <c r="D7" s="23" t="s">
        <v>263</v>
      </c>
      <c r="E7" s="23" t="s">
        <v>277</v>
      </c>
      <c r="F7" s="23" t="s">
        <v>278</v>
      </c>
      <c r="G7" s="21">
        <v>8</v>
      </c>
      <c r="H7" s="21">
        <v>2999</v>
      </c>
      <c r="I7" s="21">
        <v>14995</v>
      </c>
      <c r="J7" s="21">
        <v>18</v>
      </c>
      <c r="K7" s="21">
        <v>31</v>
      </c>
      <c r="L7" s="23" t="s">
        <v>266</v>
      </c>
      <c r="N7" s="1" t="s">
        <v>296</v>
      </c>
      <c r="O7" s="1">
        <f>VLOOKUP(N7, F3:H52, 3, 0)</f>
        <v>2499</v>
      </c>
    </row>
    <row r="8" spans="1:15" ht="15" thickBot="1">
      <c r="A8" s="21">
        <v>1006</v>
      </c>
      <c r="B8" s="22">
        <v>45663</v>
      </c>
      <c r="C8" s="23" t="s">
        <v>279</v>
      </c>
      <c r="D8" s="23" t="s">
        <v>280</v>
      </c>
      <c r="E8" s="23" t="s">
        <v>269</v>
      </c>
      <c r="F8" s="23" t="s">
        <v>233</v>
      </c>
      <c r="G8" s="21">
        <v>3</v>
      </c>
      <c r="H8" s="21">
        <v>999</v>
      </c>
      <c r="I8" s="21">
        <v>4995</v>
      </c>
      <c r="J8" s="21">
        <v>15</v>
      </c>
      <c r="K8" s="21">
        <v>29</v>
      </c>
      <c r="L8" s="23" t="s">
        <v>281</v>
      </c>
    </row>
    <row r="9" spans="1:15" ht="15" thickBot="1">
      <c r="A9" s="21">
        <v>1007</v>
      </c>
      <c r="B9" s="22">
        <v>45664</v>
      </c>
      <c r="C9" s="23" t="s">
        <v>282</v>
      </c>
      <c r="D9" s="23" t="s">
        <v>268</v>
      </c>
      <c r="E9" s="23" t="s">
        <v>264</v>
      </c>
      <c r="F9" s="23" t="s">
        <v>283</v>
      </c>
      <c r="G9" s="21">
        <v>9</v>
      </c>
      <c r="H9" s="21">
        <v>1499</v>
      </c>
      <c r="I9" s="21">
        <v>2998</v>
      </c>
      <c r="J9" s="21">
        <v>20</v>
      </c>
      <c r="K9" s="21">
        <v>45</v>
      </c>
      <c r="L9" s="23" t="s">
        <v>271</v>
      </c>
    </row>
    <row r="10" spans="1:15" ht="15" thickBot="1">
      <c r="A10" s="21">
        <v>1008</v>
      </c>
      <c r="B10" s="22">
        <v>45665</v>
      </c>
      <c r="C10" s="23" t="s">
        <v>284</v>
      </c>
      <c r="D10" s="23" t="s">
        <v>273</v>
      </c>
      <c r="E10" s="23" t="s">
        <v>277</v>
      </c>
      <c r="F10" s="23" t="s">
        <v>285</v>
      </c>
      <c r="G10" s="21">
        <v>5</v>
      </c>
      <c r="H10" s="21">
        <v>1999</v>
      </c>
      <c r="I10" s="21">
        <v>5997</v>
      </c>
      <c r="J10" s="21">
        <v>25</v>
      </c>
      <c r="K10" s="21">
        <v>32</v>
      </c>
      <c r="L10" s="23" t="s">
        <v>275</v>
      </c>
    </row>
    <row r="11" spans="1:15" ht="15" thickBot="1">
      <c r="A11" s="21">
        <v>1009</v>
      </c>
      <c r="B11" s="22">
        <v>45666</v>
      </c>
      <c r="C11" s="23" t="s">
        <v>286</v>
      </c>
      <c r="D11" s="23" t="s">
        <v>263</v>
      </c>
      <c r="E11" s="23" t="s">
        <v>269</v>
      </c>
      <c r="F11" s="23" t="s">
        <v>287</v>
      </c>
      <c r="G11" s="21">
        <v>2</v>
      </c>
      <c r="H11" s="21">
        <v>2499</v>
      </c>
      <c r="I11" s="21">
        <v>19992</v>
      </c>
      <c r="J11" s="21">
        <v>30</v>
      </c>
      <c r="K11" s="21">
        <v>27</v>
      </c>
      <c r="L11" s="23" t="s">
        <v>266</v>
      </c>
    </row>
    <row r="12" spans="1:15" ht="29.4" thickBot="1">
      <c r="A12" s="21">
        <v>10010</v>
      </c>
      <c r="B12" s="22">
        <v>45667</v>
      </c>
      <c r="C12" s="23" t="s">
        <v>288</v>
      </c>
      <c r="D12" s="23" t="s">
        <v>280</v>
      </c>
      <c r="E12" s="23" t="s">
        <v>264</v>
      </c>
      <c r="F12" s="23" t="s">
        <v>289</v>
      </c>
      <c r="G12" s="21">
        <v>7</v>
      </c>
      <c r="H12" s="21">
        <v>2999</v>
      </c>
      <c r="I12" s="21">
        <v>14995</v>
      </c>
      <c r="J12" s="21">
        <v>18</v>
      </c>
      <c r="K12" s="21">
        <v>39</v>
      </c>
      <c r="L12" s="23" t="s">
        <v>281</v>
      </c>
    </row>
    <row r="13" spans="1:15" ht="15" thickBot="1">
      <c r="A13" s="21">
        <v>10011</v>
      </c>
      <c r="B13" s="22">
        <v>45668</v>
      </c>
      <c r="C13" s="23" t="s">
        <v>290</v>
      </c>
      <c r="D13" s="23" t="s">
        <v>268</v>
      </c>
      <c r="E13" s="23" t="s">
        <v>277</v>
      </c>
      <c r="F13" s="23" t="s">
        <v>291</v>
      </c>
      <c r="G13" s="21">
        <v>10</v>
      </c>
      <c r="H13" s="21">
        <v>999</v>
      </c>
      <c r="I13" s="21">
        <v>999</v>
      </c>
      <c r="J13" s="21">
        <v>15</v>
      </c>
      <c r="K13" s="21">
        <v>28</v>
      </c>
      <c r="L13" s="23" t="s">
        <v>271</v>
      </c>
    </row>
    <row r="14" spans="1:15" ht="15" thickBot="1">
      <c r="A14" s="21">
        <v>10012</v>
      </c>
      <c r="B14" s="22">
        <v>45669</v>
      </c>
      <c r="C14" s="23" t="s">
        <v>292</v>
      </c>
      <c r="D14" s="23" t="s">
        <v>273</v>
      </c>
      <c r="E14" s="23" t="s">
        <v>269</v>
      </c>
      <c r="F14" s="23" t="s">
        <v>247</v>
      </c>
      <c r="G14" s="21">
        <v>3</v>
      </c>
      <c r="H14" s="21">
        <v>1499</v>
      </c>
      <c r="I14" s="21">
        <v>11992</v>
      </c>
      <c r="J14" s="21">
        <v>20</v>
      </c>
      <c r="K14" s="21">
        <v>35</v>
      </c>
      <c r="L14" s="23" t="s">
        <v>275</v>
      </c>
    </row>
    <row r="15" spans="1:15" ht="15" thickBot="1">
      <c r="A15" s="21">
        <v>10013</v>
      </c>
      <c r="B15" s="22">
        <v>45670</v>
      </c>
      <c r="C15" s="23" t="s">
        <v>293</v>
      </c>
      <c r="D15" s="23" t="s">
        <v>263</v>
      </c>
      <c r="E15" s="23" t="s">
        <v>264</v>
      </c>
      <c r="F15" s="23" t="s">
        <v>294</v>
      </c>
      <c r="G15" s="21">
        <v>3</v>
      </c>
      <c r="H15" s="21">
        <v>1999</v>
      </c>
      <c r="I15" s="21">
        <v>5997</v>
      </c>
      <c r="J15" s="21">
        <v>25</v>
      </c>
      <c r="K15" s="21">
        <v>40</v>
      </c>
      <c r="L15" s="23" t="s">
        <v>266</v>
      </c>
    </row>
    <row r="16" spans="1:15" ht="15" thickBot="1">
      <c r="A16" s="21">
        <v>10014</v>
      </c>
      <c r="B16" s="22">
        <v>45671</v>
      </c>
      <c r="C16" s="23" t="s">
        <v>295</v>
      </c>
      <c r="D16" s="23" t="s">
        <v>280</v>
      </c>
      <c r="E16" s="23" t="s">
        <v>277</v>
      </c>
      <c r="F16" s="23" t="s">
        <v>296</v>
      </c>
      <c r="G16" s="21">
        <v>6</v>
      </c>
      <c r="H16" s="21">
        <v>2499</v>
      </c>
      <c r="I16" s="21">
        <v>9996</v>
      </c>
      <c r="J16" s="21">
        <v>30</v>
      </c>
      <c r="K16" s="21">
        <v>24</v>
      </c>
      <c r="L16" s="23" t="s">
        <v>281</v>
      </c>
    </row>
    <row r="17" spans="1:12" ht="29.4" thickBot="1">
      <c r="A17" s="21">
        <v>10015</v>
      </c>
      <c r="B17" s="22">
        <v>45672</v>
      </c>
      <c r="C17" s="23" t="s">
        <v>297</v>
      </c>
      <c r="D17" s="23" t="s">
        <v>268</v>
      </c>
      <c r="E17" s="23" t="s">
        <v>269</v>
      </c>
      <c r="F17" s="23" t="s">
        <v>298</v>
      </c>
      <c r="G17" s="21">
        <v>6</v>
      </c>
      <c r="H17" s="21">
        <v>2999</v>
      </c>
      <c r="I17" s="21">
        <v>14995</v>
      </c>
      <c r="J17" s="21">
        <v>18</v>
      </c>
      <c r="K17" s="21">
        <v>31</v>
      </c>
      <c r="L17" s="23" t="s">
        <v>271</v>
      </c>
    </row>
    <row r="18" spans="1:12" ht="15" thickBot="1">
      <c r="A18" s="21">
        <v>10016</v>
      </c>
      <c r="B18" s="22">
        <v>45673</v>
      </c>
      <c r="C18" s="23" t="s">
        <v>299</v>
      </c>
      <c r="D18" s="23" t="s">
        <v>273</v>
      </c>
      <c r="E18" s="23" t="s">
        <v>264</v>
      </c>
      <c r="F18" s="23" t="s">
        <v>300</v>
      </c>
      <c r="G18" s="21">
        <v>10</v>
      </c>
      <c r="H18" s="21">
        <v>999</v>
      </c>
      <c r="I18" s="21">
        <v>5994</v>
      </c>
      <c r="J18" s="21">
        <v>15</v>
      </c>
      <c r="K18" s="21">
        <v>29</v>
      </c>
      <c r="L18" s="23" t="s">
        <v>275</v>
      </c>
    </row>
    <row r="19" spans="1:12" ht="15" thickBot="1">
      <c r="A19" s="21">
        <v>10017</v>
      </c>
      <c r="B19" s="22">
        <v>45674</v>
      </c>
      <c r="C19" s="23" t="s">
        <v>301</v>
      </c>
      <c r="D19" s="23" t="s">
        <v>263</v>
      </c>
      <c r="E19" s="23" t="s">
        <v>277</v>
      </c>
      <c r="F19" s="23" t="s">
        <v>302</v>
      </c>
      <c r="G19" s="21">
        <v>4</v>
      </c>
      <c r="H19" s="21">
        <v>1499</v>
      </c>
      <c r="I19" s="21">
        <v>2998</v>
      </c>
      <c r="J19" s="21">
        <v>20</v>
      </c>
      <c r="K19" s="21">
        <v>45</v>
      </c>
      <c r="L19" s="23" t="s">
        <v>266</v>
      </c>
    </row>
    <row r="20" spans="1:12" ht="15" thickBot="1">
      <c r="A20" s="21">
        <v>10018</v>
      </c>
      <c r="B20" s="22">
        <v>45675</v>
      </c>
      <c r="C20" s="23" t="s">
        <v>303</v>
      </c>
      <c r="D20" s="23" t="s">
        <v>280</v>
      </c>
      <c r="E20" s="23" t="s">
        <v>269</v>
      </c>
      <c r="F20" s="23" t="s">
        <v>304</v>
      </c>
      <c r="G20" s="21">
        <v>5</v>
      </c>
      <c r="H20" s="21">
        <v>1999</v>
      </c>
      <c r="I20" s="21">
        <v>13993</v>
      </c>
      <c r="J20" s="21">
        <v>25</v>
      </c>
      <c r="K20" s="21">
        <v>32</v>
      </c>
      <c r="L20" s="23" t="s">
        <v>281</v>
      </c>
    </row>
    <row r="21" spans="1:12" ht="15" thickBot="1">
      <c r="A21" s="21">
        <v>10019</v>
      </c>
      <c r="B21" s="22">
        <v>45676</v>
      </c>
      <c r="C21" s="23" t="s">
        <v>305</v>
      </c>
      <c r="D21" s="23" t="s">
        <v>268</v>
      </c>
      <c r="E21" s="23" t="s">
        <v>264</v>
      </c>
      <c r="F21" s="23" t="s">
        <v>306</v>
      </c>
      <c r="G21" s="21">
        <v>7</v>
      </c>
      <c r="H21" s="21">
        <v>2499</v>
      </c>
      <c r="I21" s="21">
        <v>9996</v>
      </c>
      <c r="J21" s="21">
        <v>30</v>
      </c>
      <c r="K21" s="21">
        <v>27</v>
      </c>
      <c r="L21" s="23" t="s">
        <v>271</v>
      </c>
    </row>
    <row r="22" spans="1:12" ht="29.4" thickBot="1">
      <c r="A22" s="21">
        <v>10020</v>
      </c>
      <c r="B22" s="22">
        <v>45677</v>
      </c>
      <c r="C22" s="23" t="s">
        <v>307</v>
      </c>
      <c r="D22" s="23" t="s">
        <v>273</v>
      </c>
      <c r="E22" s="23" t="s">
        <v>277</v>
      </c>
      <c r="F22" s="23" t="s">
        <v>308</v>
      </c>
      <c r="G22" s="21">
        <v>6</v>
      </c>
      <c r="H22" s="21">
        <v>2999</v>
      </c>
      <c r="I22" s="21">
        <v>14995</v>
      </c>
      <c r="J22" s="21">
        <v>18</v>
      </c>
      <c r="K22" s="21">
        <v>39</v>
      </c>
      <c r="L22" s="23" t="s">
        <v>275</v>
      </c>
    </row>
    <row r="23" spans="1:12" ht="15" thickBot="1">
      <c r="A23" s="21">
        <v>10021</v>
      </c>
      <c r="B23" s="22">
        <v>45678</v>
      </c>
      <c r="C23" s="23" t="s">
        <v>72</v>
      </c>
      <c r="D23" s="23" t="s">
        <v>263</v>
      </c>
      <c r="E23" s="23" t="s">
        <v>269</v>
      </c>
      <c r="F23" s="23" t="s">
        <v>309</v>
      </c>
      <c r="G23" s="21">
        <v>7</v>
      </c>
      <c r="H23" s="21">
        <v>999</v>
      </c>
      <c r="I23" s="21">
        <v>999</v>
      </c>
      <c r="J23" s="21">
        <v>15</v>
      </c>
      <c r="K23" s="21">
        <v>28</v>
      </c>
      <c r="L23" s="23" t="s">
        <v>266</v>
      </c>
    </row>
    <row r="24" spans="1:12" ht="15" thickBot="1">
      <c r="A24" s="21">
        <v>10022</v>
      </c>
      <c r="B24" s="22">
        <v>45679</v>
      </c>
      <c r="C24" s="23" t="s">
        <v>310</v>
      </c>
      <c r="D24" s="23" t="s">
        <v>280</v>
      </c>
      <c r="E24" s="23" t="s">
        <v>264</v>
      </c>
      <c r="F24" s="23" t="s">
        <v>311</v>
      </c>
      <c r="G24" s="21">
        <v>3</v>
      </c>
      <c r="H24" s="21">
        <v>1499</v>
      </c>
      <c r="I24" s="21">
        <v>17988</v>
      </c>
      <c r="J24" s="21">
        <v>20</v>
      </c>
      <c r="K24" s="21">
        <v>35</v>
      </c>
      <c r="L24" s="23" t="s">
        <v>281</v>
      </c>
    </row>
    <row r="25" spans="1:12" ht="15" thickBot="1">
      <c r="A25" s="21">
        <v>10023</v>
      </c>
      <c r="B25" s="22">
        <v>45680</v>
      </c>
      <c r="C25" s="23" t="s">
        <v>312</v>
      </c>
      <c r="D25" s="23" t="s">
        <v>268</v>
      </c>
      <c r="E25" s="23" t="s">
        <v>277</v>
      </c>
      <c r="F25" s="23" t="s">
        <v>313</v>
      </c>
      <c r="G25" s="21">
        <v>4</v>
      </c>
      <c r="H25" s="21">
        <v>1999</v>
      </c>
      <c r="I25" s="21">
        <v>5997</v>
      </c>
      <c r="J25" s="21">
        <v>25</v>
      </c>
      <c r="K25" s="21">
        <v>40</v>
      </c>
      <c r="L25" s="23" t="s">
        <v>271</v>
      </c>
    </row>
    <row r="26" spans="1:12" ht="15" thickBot="1">
      <c r="A26" s="21">
        <v>10024</v>
      </c>
      <c r="B26" s="22">
        <v>45681</v>
      </c>
      <c r="C26" s="23" t="s">
        <v>314</v>
      </c>
      <c r="D26" s="23" t="s">
        <v>273</v>
      </c>
      <c r="E26" s="23" t="s">
        <v>269</v>
      </c>
      <c r="F26" s="23" t="s">
        <v>315</v>
      </c>
      <c r="G26" s="21">
        <v>10</v>
      </c>
      <c r="H26" s="21">
        <v>2499</v>
      </c>
      <c r="I26" s="21">
        <v>9996</v>
      </c>
      <c r="J26" s="21">
        <v>30</v>
      </c>
      <c r="K26" s="21">
        <v>24</v>
      </c>
      <c r="L26" s="23" t="s">
        <v>275</v>
      </c>
    </row>
    <row r="27" spans="1:12" ht="15" thickBot="1">
      <c r="A27" s="21">
        <v>10025</v>
      </c>
      <c r="B27" s="22">
        <v>45682</v>
      </c>
      <c r="C27" s="23" t="s">
        <v>316</v>
      </c>
      <c r="D27" s="23" t="s">
        <v>263</v>
      </c>
      <c r="E27" s="23" t="s">
        <v>264</v>
      </c>
      <c r="F27" s="23" t="s">
        <v>317</v>
      </c>
      <c r="G27" s="21">
        <v>8</v>
      </c>
      <c r="H27" s="21">
        <v>2999</v>
      </c>
      <c r="I27" s="21">
        <v>14995</v>
      </c>
      <c r="J27" s="21">
        <v>18</v>
      </c>
      <c r="K27" s="21">
        <v>31</v>
      </c>
      <c r="L27" s="23" t="s">
        <v>266</v>
      </c>
    </row>
    <row r="28" spans="1:12" ht="15" thickBot="1">
      <c r="A28" s="21">
        <v>10026</v>
      </c>
      <c r="B28" s="22">
        <v>45683</v>
      </c>
      <c r="C28" s="23" t="s">
        <v>318</v>
      </c>
      <c r="D28" s="23" t="s">
        <v>280</v>
      </c>
      <c r="E28" s="23" t="s">
        <v>277</v>
      </c>
      <c r="F28" s="23" t="s">
        <v>319</v>
      </c>
      <c r="G28" s="21">
        <v>4</v>
      </c>
      <c r="H28" s="21">
        <v>999</v>
      </c>
      <c r="I28" s="21">
        <v>2997</v>
      </c>
      <c r="J28" s="21">
        <v>15</v>
      </c>
      <c r="K28" s="21">
        <v>29</v>
      </c>
      <c r="L28" s="23" t="s">
        <v>281</v>
      </c>
    </row>
    <row r="29" spans="1:12" ht="15" thickBot="1">
      <c r="A29" s="21">
        <v>10027</v>
      </c>
      <c r="B29" s="22">
        <v>45684</v>
      </c>
      <c r="C29" s="23" t="s">
        <v>320</v>
      </c>
      <c r="D29" s="23" t="s">
        <v>268</v>
      </c>
      <c r="E29" s="23" t="s">
        <v>269</v>
      </c>
      <c r="F29" s="23" t="s">
        <v>321</v>
      </c>
      <c r="G29" s="21">
        <v>3</v>
      </c>
      <c r="H29" s="21">
        <v>1499</v>
      </c>
      <c r="I29" s="21">
        <v>2998</v>
      </c>
      <c r="J29" s="21">
        <v>20</v>
      </c>
      <c r="K29" s="21">
        <v>45</v>
      </c>
      <c r="L29" s="23" t="s">
        <v>271</v>
      </c>
    </row>
    <row r="30" spans="1:12" ht="15" thickBot="1">
      <c r="A30" s="21">
        <v>10028</v>
      </c>
      <c r="B30" s="22">
        <v>45685</v>
      </c>
      <c r="C30" s="23" t="s">
        <v>322</v>
      </c>
      <c r="D30" s="23" t="s">
        <v>273</v>
      </c>
      <c r="E30" s="23" t="s">
        <v>264</v>
      </c>
      <c r="F30" s="23" t="s">
        <v>323</v>
      </c>
      <c r="G30" s="21">
        <v>6</v>
      </c>
      <c r="H30" s="21">
        <v>1999</v>
      </c>
      <c r="I30" s="21">
        <v>5997</v>
      </c>
      <c r="J30" s="21">
        <v>25</v>
      </c>
      <c r="K30" s="21">
        <v>32</v>
      </c>
      <c r="L30" s="23" t="s">
        <v>275</v>
      </c>
    </row>
    <row r="31" spans="1:12" ht="15" thickBot="1">
      <c r="A31" s="21">
        <v>10029</v>
      </c>
      <c r="B31" s="22">
        <v>45686</v>
      </c>
      <c r="C31" s="23" t="s">
        <v>324</v>
      </c>
      <c r="D31" s="23" t="s">
        <v>263</v>
      </c>
      <c r="E31" s="23" t="s">
        <v>277</v>
      </c>
      <c r="F31" s="23" t="s">
        <v>325</v>
      </c>
      <c r="G31" s="21">
        <v>7</v>
      </c>
      <c r="H31" s="21">
        <v>2499</v>
      </c>
      <c r="I31" s="21">
        <v>9996</v>
      </c>
      <c r="J31" s="21">
        <v>30</v>
      </c>
      <c r="K31" s="21">
        <v>27</v>
      </c>
      <c r="L31" s="23" t="s">
        <v>266</v>
      </c>
    </row>
    <row r="32" spans="1:12" ht="15" thickBot="1">
      <c r="A32" s="21">
        <v>10030</v>
      </c>
      <c r="B32" s="22">
        <v>45687</v>
      </c>
      <c r="C32" s="23" t="s">
        <v>326</v>
      </c>
      <c r="D32" s="23" t="s">
        <v>280</v>
      </c>
      <c r="E32" s="23" t="s">
        <v>269</v>
      </c>
      <c r="F32" s="23" t="s">
        <v>327</v>
      </c>
      <c r="G32" s="21">
        <v>6</v>
      </c>
      <c r="H32" s="21">
        <v>2999</v>
      </c>
      <c r="I32" s="21">
        <v>26991</v>
      </c>
      <c r="J32" s="21">
        <v>18</v>
      </c>
      <c r="K32" s="21">
        <v>39</v>
      </c>
      <c r="L32" s="23" t="s">
        <v>281</v>
      </c>
    </row>
    <row r="33" spans="1:12" ht="15" thickBot="1">
      <c r="A33" s="21">
        <v>10031</v>
      </c>
      <c r="B33" s="22">
        <v>45688</v>
      </c>
      <c r="C33" s="23" t="s">
        <v>328</v>
      </c>
      <c r="D33" s="23" t="s">
        <v>268</v>
      </c>
      <c r="E33" s="23" t="s">
        <v>264</v>
      </c>
      <c r="F33" s="23" t="s">
        <v>329</v>
      </c>
      <c r="G33" s="21">
        <v>3</v>
      </c>
      <c r="H33" s="21">
        <v>999</v>
      </c>
      <c r="I33" s="21">
        <v>999</v>
      </c>
      <c r="J33" s="21">
        <v>15</v>
      </c>
      <c r="K33" s="21">
        <v>28</v>
      </c>
      <c r="L33" s="23" t="s">
        <v>271</v>
      </c>
    </row>
    <row r="34" spans="1:12" ht="15" thickBot="1">
      <c r="A34" s="21">
        <v>10032</v>
      </c>
      <c r="B34" s="22">
        <v>45689</v>
      </c>
      <c r="C34" s="23" t="s">
        <v>330</v>
      </c>
      <c r="D34" s="23" t="s">
        <v>273</v>
      </c>
      <c r="E34" s="23" t="s">
        <v>277</v>
      </c>
      <c r="F34" s="23" t="s">
        <v>331</v>
      </c>
      <c r="G34" s="21">
        <v>3</v>
      </c>
      <c r="H34" s="21">
        <v>1499</v>
      </c>
      <c r="I34" s="21">
        <v>2998</v>
      </c>
      <c r="J34" s="21">
        <v>20</v>
      </c>
      <c r="K34" s="21">
        <v>35</v>
      </c>
      <c r="L34" s="23" t="s">
        <v>275</v>
      </c>
    </row>
    <row r="35" spans="1:12" ht="15" thickBot="1">
      <c r="A35" s="21">
        <v>10033</v>
      </c>
      <c r="B35" s="22">
        <v>45690</v>
      </c>
      <c r="C35" s="23" t="s">
        <v>332</v>
      </c>
      <c r="D35" s="23" t="s">
        <v>263</v>
      </c>
      <c r="E35" s="23" t="s">
        <v>269</v>
      </c>
      <c r="F35" s="23" t="s">
        <v>333</v>
      </c>
      <c r="G35" s="21">
        <v>7</v>
      </c>
      <c r="H35" s="21">
        <v>1999</v>
      </c>
      <c r="I35" s="21">
        <v>5997</v>
      </c>
      <c r="J35" s="21">
        <v>25</v>
      </c>
      <c r="K35" s="21">
        <v>40</v>
      </c>
      <c r="L35" s="23" t="s">
        <v>266</v>
      </c>
    </row>
    <row r="36" spans="1:12" ht="15" thickBot="1">
      <c r="A36" s="21">
        <v>10034</v>
      </c>
      <c r="B36" s="22">
        <v>45691</v>
      </c>
      <c r="C36" s="23" t="s">
        <v>334</v>
      </c>
      <c r="D36" s="23" t="s">
        <v>280</v>
      </c>
      <c r="E36" s="23" t="s">
        <v>264</v>
      </c>
      <c r="F36" s="23" t="s">
        <v>335</v>
      </c>
      <c r="G36" s="21">
        <v>10</v>
      </c>
      <c r="H36" s="21">
        <v>2499</v>
      </c>
      <c r="I36" s="21">
        <v>9996</v>
      </c>
      <c r="J36" s="21">
        <v>30</v>
      </c>
      <c r="K36" s="21">
        <v>24</v>
      </c>
      <c r="L36" s="23" t="s">
        <v>281</v>
      </c>
    </row>
    <row r="37" spans="1:12" ht="15" thickBot="1">
      <c r="A37" s="21">
        <v>10035</v>
      </c>
      <c r="B37" s="22">
        <v>45692</v>
      </c>
      <c r="C37" s="23" t="s">
        <v>336</v>
      </c>
      <c r="D37" s="23" t="s">
        <v>268</v>
      </c>
      <c r="E37" s="23" t="s">
        <v>277</v>
      </c>
      <c r="F37" s="23" t="s">
        <v>249</v>
      </c>
      <c r="G37" s="21">
        <v>2</v>
      </c>
      <c r="H37" s="21">
        <v>2999</v>
      </c>
      <c r="I37" s="21">
        <v>14995</v>
      </c>
      <c r="J37" s="21">
        <v>18</v>
      </c>
      <c r="K37" s="21">
        <v>31</v>
      </c>
      <c r="L37" s="23" t="s">
        <v>271</v>
      </c>
    </row>
    <row r="38" spans="1:12" ht="15" thickBot="1">
      <c r="A38" s="21">
        <v>10036</v>
      </c>
      <c r="B38" s="22">
        <v>45693</v>
      </c>
      <c r="C38" s="23" t="s">
        <v>337</v>
      </c>
      <c r="D38" s="23" t="s">
        <v>273</v>
      </c>
      <c r="E38" s="23" t="s">
        <v>269</v>
      </c>
      <c r="F38" s="23" t="s">
        <v>338</v>
      </c>
      <c r="G38" s="21">
        <v>6</v>
      </c>
      <c r="H38" s="21">
        <v>999</v>
      </c>
      <c r="I38" s="21">
        <v>999</v>
      </c>
      <c r="J38" s="21">
        <v>15</v>
      </c>
      <c r="K38" s="21">
        <v>29</v>
      </c>
      <c r="L38" s="23" t="s">
        <v>275</v>
      </c>
    </row>
    <row r="39" spans="1:12" ht="15" thickBot="1">
      <c r="A39" s="21">
        <v>10037</v>
      </c>
      <c r="B39" s="22">
        <v>45694</v>
      </c>
      <c r="C39" s="23" t="s">
        <v>339</v>
      </c>
      <c r="D39" s="23" t="s">
        <v>263</v>
      </c>
      <c r="E39" s="23" t="s">
        <v>264</v>
      </c>
      <c r="F39" s="23" t="s">
        <v>340</v>
      </c>
      <c r="G39" s="21">
        <v>7</v>
      </c>
      <c r="H39" s="21">
        <v>1499</v>
      </c>
      <c r="I39" s="21">
        <v>2998</v>
      </c>
      <c r="J39" s="21">
        <v>20</v>
      </c>
      <c r="K39" s="21">
        <v>45</v>
      </c>
      <c r="L39" s="23" t="s">
        <v>266</v>
      </c>
    </row>
    <row r="40" spans="1:12" ht="15" thickBot="1">
      <c r="A40" s="21">
        <v>10038</v>
      </c>
      <c r="B40" s="22">
        <v>45695</v>
      </c>
      <c r="C40" s="23" t="s">
        <v>341</v>
      </c>
      <c r="D40" s="23" t="s">
        <v>280</v>
      </c>
      <c r="E40" s="23" t="s">
        <v>277</v>
      </c>
      <c r="F40" s="23" t="s">
        <v>342</v>
      </c>
      <c r="G40" s="21">
        <v>10</v>
      </c>
      <c r="H40" s="21">
        <v>1999</v>
      </c>
      <c r="I40" s="21">
        <v>3998</v>
      </c>
      <c r="J40" s="21">
        <v>25</v>
      </c>
      <c r="K40" s="21">
        <v>32</v>
      </c>
      <c r="L40" s="23" t="s">
        <v>281</v>
      </c>
    </row>
    <row r="41" spans="1:12" ht="15" thickBot="1">
      <c r="A41" s="21">
        <v>10039</v>
      </c>
      <c r="B41" s="22">
        <v>45696</v>
      </c>
      <c r="C41" s="23" t="s">
        <v>343</v>
      </c>
      <c r="D41" s="23" t="s">
        <v>268</v>
      </c>
      <c r="E41" s="23" t="s">
        <v>269</v>
      </c>
      <c r="F41" s="23" t="s">
        <v>344</v>
      </c>
      <c r="G41" s="21">
        <v>7</v>
      </c>
      <c r="H41" s="21">
        <v>2499</v>
      </c>
      <c r="I41" s="21">
        <v>9996</v>
      </c>
      <c r="J41" s="21">
        <v>30</v>
      </c>
      <c r="K41" s="21">
        <v>27</v>
      </c>
      <c r="L41" s="23" t="s">
        <v>271</v>
      </c>
    </row>
    <row r="42" spans="1:12" ht="15" thickBot="1">
      <c r="A42" s="21">
        <v>10040</v>
      </c>
      <c r="B42" s="22">
        <v>45697</v>
      </c>
      <c r="C42" s="23" t="s">
        <v>345</v>
      </c>
      <c r="D42" s="23" t="s">
        <v>273</v>
      </c>
      <c r="E42" s="23" t="s">
        <v>264</v>
      </c>
      <c r="F42" s="23" t="s">
        <v>251</v>
      </c>
      <c r="G42" s="21">
        <v>7</v>
      </c>
      <c r="H42" s="21">
        <v>2999</v>
      </c>
      <c r="I42" s="21">
        <v>8997</v>
      </c>
      <c r="J42" s="21">
        <v>18</v>
      </c>
      <c r="K42" s="21">
        <v>39</v>
      </c>
      <c r="L42" s="23" t="s">
        <v>275</v>
      </c>
    </row>
    <row r="43" spans="1:12" ht="15" thickBot="1">
      <c r="A43" s="21">
        <v>10041</v>
      </c>
      <c r="B43" s="22">
        <v>45698</v>
      </c>
      <c r="C43" s="23" t="s">
        <v>346</v>
      </c>
      <c r="D43" s="23" t="s">
        <v>263</v>
      </c>
      <c r="E43" s="23" t="s">
        <v>277</v>
      </c>
      <c r="F43" s="23" t="s">
        <v>347</v>
      </c>
      <c r="G43" s="21">
        <v>5</v>
      </c>
      <c r="H43" s="21">
        <v>999</v>
      </c>
      <c r="I43" s="21">
        <v>999</v>
      </c>
      <c r="J43" s="21">
        <v>15</v>
      </c>
      <c r="K43" s="21">
        <v>28</v>
      </c>
      <c r="L43" s="23" t="s">
        <v>266</v>
      </c>
    </row>
    <row r="44" spans="1:12" ht="15" thickBot="1">
      <c r="A44" s="21">
        <v>10042</v>
      </c>
      <c r="B44" s="22">
        <v>45699</v>
      </c>
      <c r="C44" s="23" t="s">
        <v>348</v>
      </c>
      <c r="D44" s="23" t="s">
        <v>280</v>
      </c>
      <c r="E44" s="23" t="s">
        <v>269</v>
      </c>
      <c r="F44" s="23" t="s">
        <v>349</v>
      </c>
      <c r="G44" s="21">
        <v>8</v>
      </c>
      <c r="H44" s="21">
        <v>1499</v>
      </c>
      <c r="I44" s="21">
        <v>2998</v>
      </c>
      <c r="J44" s="21">
        <v>20</v>
      </c>
      <c r="K44" s="21">
        <v>35</v>
      </c>
      <c r="L44" s="23" t="s">
        <v>281</v>
      </c>
    </row>
    <row r="45" spans="1:12" ht="15" thickBot="1">
      <c r="A45" s="21">
        <v>10043</v>
      </c>
      <c r="B45" s="22">
        <v>45700</v>
      </c>
      <c r="C45" s="23" t="s">
        <v>350</v>
      </c>
      <c r="D45" s="23" t="s">
        <v>268</v>
      </c>
      <c r="E45" s="23" t="s">
        <v>264</v>
      </c>
      <c r="F45" s="23" t="s">
        <v>351</v>
      </c>
      <c r="G45" s="21">
        <v>1</v>
      </c>
      <c r="H45" s="21">
        <v>1999</v>
      </c>
      <c r="I45" s="21">
        <v>5997</v>
      </c>
      <c r="J45" s="21">
        <v>25</v>
      </c>
      <c r="K45" s="21">
        <v>40</v>
      </c>
      <c r="L45" s="23" t="s">
        <v>271</v>
      </c>
    </row>
    <row r="46" spans="1:12" ht="15" thickBot="1">
      <c r="A46" s="21">
        <v>10044</v>
      </c>
      <c r="B46" s="22">
        <v>45701</v>
      </c>
      <c r="C46" s="23" t="s">
        <v>352</v>
      </c>
      <c r="D46" s="23" t="s">
        <v>273</v>
      </c>
      <c r="E46" s="23" t="s">
        <v>277</v>
      </c>
      <c r="F46" s="23" t="s">
        <v>241</v>
      </c>
      <c r="G46" s="21">
        <v>6</v>
      </c>
      <c r="H46" s="21">
        <v>2499</v>
      </c>
      <c r="I46" s="21">
        <v>9996</v>
      </c>
      <c r="J46" s="21">
        <v>30</v>
      </c>
      <c r="K46" s="21">
        <v>24</v>
      </c>
      <c r="L46" s="23" t="s">
        <v>275</v>
      </c>
    </row>
    <row r="47" spans="1:12" ht="15" thickBot="1">
      <c r="A47" s="21">
        <v>10045</v>
      </c>
      <c r="B47" s="22">
        <v>45702</v>
      </c>
      <c r="C47" s="23" t="s">
        <v>353</v>
      </c>
      <c r="D47" s="23" t="s">
        <v>263</v>
      </c>
      <c r="E47" s="23" t="s">
        <v>269</v>
      </c>
      <c r="F47" s="23" t="s">
        <v>354</v>
      </c>
      <c r="G47" s="21">
        <v>6</v>
      </c>
      <c r="H47" s="21">
        <v>2999</v>
      </c>
      <c r="I47" s="21">
        <v>14995</v>
      </c>
      <c r="J47" s="21">
        <v>18</v>
      </c>
      <c r="K47" s="21">
        <v>31</v>
      </c>
      <c r="L47" s="23" t="s">
        <v>266</v>
      </c>
    </row>
    <row r="48" spans="1:12" ht="15" thickBot="1">
      <c r="A48" s="21">
        <v>10046</v>
      </c>
      <c r="B48" s="22">
        <v>45703</v>
      </c>
      <c r="C48" s="23" t="s">
        <v>355</v>
      </c>
      <c r="D48" s="23" t="s">
        <v>280</v>
      </c>
      <c r="E48" s="23" t="s">
        <v>264</v>
      </c>
      <c r="F48" s="23" t="s">
        <v>356</v>
      </c>
      <c r="G48" s="21">
        <v>8</v>
      </c>
      <c r="H48" s="21">
        <v>999</v>
      </c>
      <c r="I48" s="21">
        <v>1998</v>
      </c>
      <c r="J48" s="21">
        <v>15</v>
      </c>
      <c r="K48" s="21">
        <v>29</v>
      </c>
      <c r="L48" s="23" t="s">
        <v>281</v>
      </c>
    </row>
    <row r="49" spans="1:12" ht="15" thickBot="1">
      <c r="A49" s="21">
        <v>10047</v>
      </c>
      <c r="B49" s="22">
        <v>45704</v>
      </c>
      <c r="C49" s="23" t="s">
        <v>357</v>
      </c>
      <c r="D49" s="23" t="s">
        <v>268</v>
      </c>
      <c r="E49" s="23" t="s">
        <v>277</v>
      </c>
      <c r="F49" s="23" t="s">
        <v>358</v>
      </c>
      <c r="G49" s="21">
        <v>4</v>
      </c>
      <c r="H49" s="21">
        <v>1499</v>
      </c>
      <c r="I49" s="21">
        <v>2998</v>
      </c>
      <c r="J49" s="21">
        <v>20</v>
      </c>
      <c r="K49" s="21">
        <v>45</v>
      </c>
      <c r="L49" s="23" t="s">
        <v>271</v>
      </c>
    </row>
    <row r="50" spans="1:12" ht="15" thickBot="1">
      <c r="A50" s="21">
        <v>10048</v>
      </c>
      <c r="B50" s="22">
        <v>45705</v>
      </c>
      <c r="C50" s="23" t="s">
        <v>359</v>
      </c>
      <c r="D50" s="23" t="s">
        <v>273</v>
      </c>
      <c r="E50" s="23" t="s">
        <v>269</v>
      </c>
      <c r="F50" s="23" t="s">
        <v>360</v>
      </c>
      <c r="G50" s="21">
        <v>6</v>
      </c>
      <c r="H50" s="21">
        <v>1999</v>
      </c>
      <c r="I50" s="21">
        <v>5997</v>
      </c>
      <c r="J50" s="21">
        <v>25</v>
      </c>
      <c r="K50" s="21">
        <v>32</v>
      </c>
      <c r="L50" s="23" t="s">
        <v>275</v>
      </c>
    </row>
    <row r="51" spans="1:12" ht="15" thickBot="1">
      <c r="A51" s="21">
        <v>10049</v>
      </c>
      <c r="B51" s="22">
        <v>45706</v>
      </c>
      <c r="C51" s="23" t="s">
        <v>361</v>
      </c>
      <c r="D51" s="23" t="s">
        <v>263</v>
      </c>
      <c r="E51" s="23" t="s">
        <v>264</v>
      </c>
      <c r="F51" s="23" t="s">
        <v>362</v>
      </c>
      <c r="G51" s="21">
        <v>9</v>
      </c>
      <c r="H51" s="21">
        <v>2499</v>
      </c>
      <c r="I51" s="21">
        <v>22491</v>
      </c>
      <c r="J51" s="21">
        <v>30</v>
      </c>
      <c r="K51" s="21">
        <v>27</v>
      </c>
      <c r="L51" s="23" t="s">
        <v>266</v>
      </c>
    </row>
    <row r="52" spans="1:12" ht="15" thickBot="1">
      <c r="A52" s="21">
        <v>10050</v>
      </c>
      <c r="B52" s="22">
        <v>45707</v>
      </c>
      <c r="C52" s="23" t="s">
        <v>363</v>
      </c>
      <c r="D52" s="23" t="s">
        <v>280</v>
      </c>
      <c r="E52" s="23" t="s">
        <v>277</v>
      </c>
      <c r="F52" s="23" t="s">
        <v>364</v>
      </c>
      <c r="G52" s="21">
        <v>8</v>
      </c>
      <c r="H52" s="21">
        <v>2999</v>
      </c>
      <c r="I52" s="21">
        <v>14995</v>
      </c>
      <c r="J52" s="21">
        <v>18</v>
      </c>
      <c r="K52" s="21">
        <v>39</v>
      </c>
      <c r="L52" s="23" t="s">
        <v>281</v>
      </c>
    </row>
  </sheetData>
  <dataValidations count="1">
    <dataValidation type="list" allowBlank="1" showInputMessage="1" showErrorMessage="1" sqref="N7" xr:uid="{6BA95BCE-C9D2-44E1-AFE3-26B66A22541B}">
      <formula1>$F$4:$F$52</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30C47-EAF9-4539-A15E-0C20338B6AE8}">
  <sheetPr codeName="Sheet7"/>
  <dimension ref="A1:N106"/>
  <sheetViews>
    <sheetView zoomScale="94" zoomScaleNormal="160" workbookViewId="0">
      <selection activeCell="AO23" sqref="AO23"/>
    </sheetView>
  </sheetViews>
  <sheetFormatPr defaultRowHeight="14.4"/>
  <cols>
    <col min="1" max="1" width="16" customWidth="1"/>
    <col min="2" max="2" width="12.5546875" customWidth="1"/>
    <col min="3" max="3" width="12.33203125" customWidth="1"/>
    <col min="4" max="4" width="13.77734375" customWidth="1"/>
    <col min="5" max="5" width="17.33203125" style="29" customWidth="1"/>
    <col min="6" max="6" width="14.44140625" customWidth="1"/>
    <col min="7" max="7" width="13.6640625" customWidth="1"/>
    <col min="8" max="8" width="11" customWidth="1"/>
    <col min="9" max="9" width="13.88671875" customWidth="1"/>
    <col min="10" max="10" width="12.33203125" customWidth="1"/>
    <col min="11" max="11" width="14.5546875" customWidth="1"/>
    <col min="12" max="12" width="13.88671875" customWidth="1"/>
    <col min="13" max="13" width="15.21875" customWidth="1"/>
    <col min="14" max="14" width="19.88671875" customWidth="1"/>
    <col min="16" max="16" width="12.88671875" bestFit="1" customWidth="1"/>
  </cols>
  <sheetData>
    <row r="1" spans="1:14">
      <c r="A1" t="s">
        <v>365</v>
      </c>
    </row>
    <row r="3" spans="1:14">
      <c r="A3" t="s">
        <v>366</v>
      </c>
    </row>
    <row r="6" spans="1:14">
      <c r="A6" s="24" t="s">
        <v>367</v>
      </c>
      <c r="B6" s="24" t="s">
        <v>255</v>
      </c>
      <c r="C6" s="24" t="s">
        <v>368</v>
      </c>
      <c r="D6" s="24" t="s">
        <v>369</v>
      </c>
      <c r="E6" s="28" t="s">
        <v>370</v>
      </c>
      <c r="F6" s="24" t="s">
        <v>371</v>
      </c>
      <c r="G6" s="24" t="s">
        <v>372</v>
      </c>
      <c r="H6" s="24" t="s">
        <v>373</v>
      </c>
      <c r="I6" s="24" t="s">
        <v>374</v>
      </c>
      <c r="J6" s="24" t="s">
        <v>375</v>
      </c>
      <c r="K6" s="24" t="s">
        <v>376</v>
      </c>
      <c r="L6" s="24" t="s">
        <v>377</v>
      </c>
      <c r="M6" s="24" t="s">
        <v>378</v>
      </c>
      <c r="N6" s="24" t="s">
        <v>379</v>
      </c>
    </row>
    <row r="7" spans="1:14">
      <c r="A7" s="25" t="s">
        <v>380</v>
      </c>
      <c r="B7" s="25" t="s">
        <v>381</v>
      </c>
      <c r="C7" s="25" t="s">
        <v>382</v>
      </c>
      <c r="D7" s="25" t="s">
        <v>383</v>
      </c>
      <c r="E7" s="30">
        <v>9515759149</v>
      </c>
      <c r="F7" s="25" t="s">
        <v>384</v>
      </c>
      <c r="G7" s="25" t="s">
        <v>385</v>
      </c>
      <c r="H7" s="25">
        <v>2439.81</v>
      </c>
      <c r="I7" s="25">
        <v>5</v>
      </c>
      <c r="J7" s="25">
        <v>3559.55</v>
      </c>
      <c r="K7" s="25" t="s">
        <v>266</v>
      </c>
      <c r="L7" s="25">
        <v>12199.05</v>
      </c>
      <c r="M7" s="26" t="s">
        <v>386</v>
      </c>
      <c r="N7" s="25">
        <v>29.18</v>
      </c>
    </row>
    <row r="8" spans="1:14">
      <c r="A8" s="25" t="s">
        <v>387</v>
      </c>
      <c r="B8" s="25" t="s">
        <v>381</v>
      </c>
      <c r="C8" s="25" t="s">
        <v>382</v>
      </c>
      <c r="D8" s="25" t="s">
        <v>383</v>
      </c>
      <c r="E8" s="30">
        <v>9720381947</v>
      </c>
      <c r="F8" s="25" t="s">
        <v>388</v>
      </c>
      <c r="G8" s="25" t="s">
        <v>389</v>
      </c>
      <c r="H8" s="25">
        <v>1621.43</v>
      </c>
      <c r="I8" s="25">
        <v>13</v>
      </c>
      <c r="J8" s="25">
        <v>4029.57</v>
      </c>
      <c r="K8" s="25" t="s">
        <v>390</v>
      </c>
      <c r="L8" s="25">
        <v>21078.59</v>
      </c>
      <c r="M8" s="26" t="s">
        <v>386</v>
      </c>
      <c r="N8" s="25">
        <v>19.12</v>
      </c>
    </row>
    <row r="9" spans="1:14">
      <c r="A9" s="25" t="s">
        <v>391</v>
      </c>
      <c r="B9" s="25" t="s">
        <v>392</v>
      </c>
      <c r="C9" s="25" t="s">
        <v>382</v>
      </c>
      <c r="D9" s="25" t="s">
        <v>393</v>
      </c>
      <c r="E9" s="30">
        <v>9483465530</v>
      </c>
      <c r="F9" s="25" t="s">
        <v>384</v>
      </c>
      <c r="G9" s="25" t="s">
        <v>394</v>
      </c>
      <c r="H9" s="25">
        <v>1363.73</v>
      </c>
      <c r="I9" s="25">
        <v>1</v>
      </c>
      <c r="J9" s="25">
        <v>362.2</v>
      </c>
      <c r="K9" s="25" t="s">
        <v>390</v>
      </c>
      <c r="L9" s="25">
        <v>1363.73</v>
      </c>
      <c r="M9" s="26" t="s">
        <v>395</v>
      </c>
      <c r="N9" s="25">
        <v>26.56</v>
      </c>
    </row>
    <row r="10" spans="1:14">
      <c r="A10" s="25" t="s">
        <v>396</v>
      </c>
      <c r="B10" s="25" t="s">
        <v>392</v>
      </c>
      <c r="C10" s="25" t="s">
        <v>382</v>
      </c>
      <c r="D10" s="25" t="s">
        <v>393</v>
      </c>
      <c r="E10" s="30">
        <v>9350165589</v>
      </c>
      <c r="F10" s="25" t="s">
        <v>388</v>
      </c>
      <c r="G10" s="25" t="s">
        <v>397</v>
      </c>
      <c r="H10" s="25">
        <v>1172.93</v>
      </c>
      <c r="I10" s="25">
        <v>5</v>
      </c>
      <c r="J10" s="25">
        <v>1542.65</v>
      </c>
      <c r="K10" s="25" t="s">
        <v>398</v>
      </c>
      <c r="L10" s="25">
        <v>5864.65</v>
      </c>
      <c r="M10" s="26" t="s">
        <v>399</v>
      </c>
      <c r="N10" s="25">
        <v>26.3</v>
      </c>
    </row>
    <row r="11" spans="1:14">
      <c r="A11" s="25" t="s">
        <v>400</v>
      </c>
      <c r="B11" s="25" t="s">
        <v>392</v>
      </c>
      <c r="C11" s="25" t="s">
        <v>382</v>
      </c>
      <c r="D11" s="25" t="s">
        <v>383</v>
      </c>
      <c r="E11" s="30">
        <v>9621991901</v>
      </c>
      <c r="F11" s="25" t="s">
        <v>384</v>
      </c>
      <c r="G11" s="25" t="s">
        <v>278</v>
      </c>
      <c r="H11" s="25">
        <v>2457.56</v>
      </c>
      <c r="I11" s="25">
        <v>13</v>
      </c>
      <c r="J11" s="27">
        <v>6972.71</v>
      </c>
      <c r="K11" s="25" t="s">
        <v>266</v>
      </c>
      <c r="L11" s="25">
        <v>31948.28</v>
      </c>
      <c r="M11" s="26" t="s">
        <v>386</v>
      </c>
      <c r="N11" s="25">
        <v>21.82</v>
      </c>
    </row>
    <row r="12" spans="1:14">
      <c r="A12" s="25" t="s">
        <v>401</v>
      </c>
      <c r="B12" s="25" t="s">
        <v>392</v>
      </c>
      <c r="C12" s="25" t="s">
        <v>382</v>
      </c>
      <c r="D12" s="25" t="s">
        <v>393</v>
      </c>
      <c r="E12" s="30">
        <v>9734105442</v>
      </c>
      <c r="F12" s="25" t="s">
        <v>384</v>
      </c>
      <c r="G12" s="25" t="s">
        <v>285</v>
      </c>
      <c r="H12" s="25">
        <v>2661.44</v>
      </c>
      <c r="I12" s="25">
        <v>7</v>
      </c>
      <c r="J12" s="25">
        <v>2581.67</v>
      </c>
      <c r="K12" s="25" t="s">
        <v>390</v>
      </c>
      <c r="L12" s="25">
        <v>18630.080000000002</v>
      </c>
      <c r="M12" s="26" t="s">
        <v>386</v>
      </c>
      <c r="N12" s="25">
        <v>13.86</v>
      </c>
    </row>
    <row r="13" spans="1:14">
      <c r="A13" s="25" t="s">
        <v>402</v>
      </c>
      <c r="B13" s="25" t="s">
        <v>403</v>
      </c>
      <c r="C13" s="25" t="s">
        <v>382</v>
      </c>
      <c r="D13" s="25" t="s">
        <v>404</v>
      </c>
      <c r="E13" s="30">
        <v>9117390999</v>
      </c>
      <c r="F13" s="25" t="s">
        <v>384</v>
      </c>
      <c r="G13" s="25" t="s">
        <v>394</v>
      </c>
      <c r="H13" s="25">
        <v>1400.82</v>
      </c>
      <c r="I13" s="25">
        <v>6</v>
      </c>
      <c r="J13" s="25">
        <v>994.44</v>
      </c>
      <c r="K13" s="25" t="s">
        <v>281</v>
      </c>
      <c r="L13" s="25">
        <v>8404.92</v>
      </c>
      <c r="M13" s="26" t="s">
        <v>399</v>
      </c>
      <c r="N13" s="25">
        <v>11.83</v>
      </c>
    </row>
    <row r="14" spans="1:14">
      <c r="A14" s="25" t="s">
        <v>405</v>
      </c>
      <c r="B14" s="25" t="s">
        <v>381</v>
      </c>
      <c r="C14" s="25" t="s">
        <v>382</v>
      </c>
      <c r="D14" s="25" t="s">
        <v>383</v>
      </c>
      <c r="E14" s="30">
        <v>9513032833</v>
      </c>
      <c r="F14" s="25" t="s">
        <v>388</v>
      </c>
      <c r="G14" s="25" t="s">
        <v>406</v>
      </c>
      <c r="H14" s="25">
        <v>416.18</v>
      </c>
      <c r="I14" s="25">
        <v>3</v>
      </c>
      <c r="J14" s="25">
        <v>327.88</v>
      </c>
      <c r="K14" s="25" t="s">
        <v>390</v>
      </c>
      <c r="L14" s="25">
        <v>1248.54</v>
      </c>
      <c r="M14" s="26" t="s">
        <v>395</v>
      </c>
      <c r="N14" s="25">
        <v>26.26</v>
      </c>
    </row>
    <row r="15" spans="1:14">
      <c r="A15" s="25" t="s">
        <v>407</v>
      </c>
      <c r="B15" s="25" t="s">
        <v>392</v>
      </c>
      <c r="C15" s="25" t="s">
        <v>382</v>
      </c>
      <c r="D15" s="25" t="s">
        <v>408</v>
      </c>
      <c r="E15" s="31">
        <v>95543976868</v>
      </c>
      <c r="F15" s="25" t="s">
        <v>388</v>
      </c>
      <c r="G15" s="25" t="s">
        <v>406</v>
      </c>
      <c r="H15" s="25">
        <v>1290.47</v>
      </c>
      <c r="I15" s="25">
        <v>6</v>
      </c>
      <c r="J15" s="25">
        <v>1045.43</v>
      </c>
      <c r="K15" s="25" t="s">
        <v>390</v>
      </c>
      <c r="L15" s="25">
        <v>7742.82</v>
      </c>
      <c r="M15" s="26" t="s">
        <v>399</v>
      </c>
      <c r="N15" s="25">
        <v>13.5</v>
      </c>
    </row>
    <row r="16" spans="1:14">
      <c r="A16" s="25" t="s">
        <v>409</v>
      </c>
      <c r="B16" s="25" t="s">
        <v>381</v>
      </c>
      <c r="C16" s="25" t="s">
        <v>382</v>
      </c>
      <c r="D16" s="25" t="s">
        <v>410</v>
      </c>
      <c r="E16" s="30">
        <v>9866250123</v>
      </c>
      <c r="F16" s="25" t="s">
        <v>384</v>
      </c>
      <c r="G16" s="25" t="s">
        <v>394</v>
      </c>
      <c r="H16" s="25">
        <v>2519.94</v>
      </c>
      <c r="I16" s="25">
        <v>15</v>
      </c>
      <c r="J16" s="27">
        <v>11123.31</v>
      </c>
      <c r="K16" s="25" t="s">
        <v>398</v>
      </c>
      <c r="L16" s="25">
        <v>37799.1</v>
      </c>
      <c r="M16" s="26" t="s">
        <v>386</v>
      </c>
      <c r="N16" s="25">
        <v>29.43</v>
      </c>
    </row>
    <row r="17" spans="1:14">
      <c r="A17" s="25" t="s">
        <v>411</v>
      </c>
      <c r="B17" s="25" t="s">
        <v>392</v>
      </c>
      <c r="C17" s="25" t="s">
        <v>382</v>
      </c>
      <c r="D17" s="25" t="s">
        <v>412</v>
      </c>
      <c r="E17" s="30">
        <v>9884314044</v>
      </c>
      <c r="F17" s="25" t="s">
        <v>384</v>
      </c>
      <c r="G17" s="25" t="s">
        <v>394</v>
      </c>
      <c r="H17" s="25">
        <v>2814.97</v>
      </c>
      <c r="I17" s="25">
        <v>1</v>
      </c>
      <c r="J17" s="25">
        <v>716.15</v>
      </c>
      <c r="K17" s="25" t="s">
        <v>390</v>
      </c>
      <c r="L17" s="25">
        <v>2814.97</v>
      </c>
      <c r="M17" s="26" t="s">
        <v>395</v>
      </c>
      <c r="N17" s="25">
        <v>25.44</v>
      </c>
    </row>
    <row r="18" spans="1:14">
      <c r="A18" s="25" t="s">
        <v>413</v>
      </c>
      <c r="B18" s="25" t="s">
        <v>403</v>
      </c>
      <c r="C18" s="25" t="s">
        <v>382</v>
      </c>
      <c r="D18" s="25" t="s">
        <v>393</v>
      </c>
      <c r="E18" s="30">
        <v>9192128284</v>
      </c>
      <c r="F18" s="25" t="s">
        <v>384</v>
      </c>
      <c r="G18" s="25" t="s">
        <v>278</v>
      </c>
      <c r="H18" s="25">
        <v>841.72</v>
      </c>
      <c r="I18" s="25">
        <v>13</v>
      </c>
      <c r="J18" s="25">
        <v>2130.1799999999998</v>
      </c>
      <c r="K18" s="25" t="s">
        <v>281</v>
      </c>
      <c r="L18" s="25">
        <v>10942.36</v>
      </c>
      <c r="M18" s="26" t="s">
        <v>386</v>
      </c>
      <c r="N18" s="25">
        <v>19.47</v>
      </c>
    </row>
    <row r="19" spans="1:14">
      <c r="A19" s="25" t="s">
        <v>414</v>
      </c>
      <c r="B19" s="25" t="s">
        <v>415</v>
      </c>
      <c r="C19" s="25" t="s">
        <v>382</v>
      </c>
      <c r="D19" s="25" t="s">
        <v>393</v>
      </c>
      <c r="E19" s="30">
        <v>9731590483</v>
      </c>
      <c r="F19" s="25" t="s">
        <v>264</v>
      </c>
      <c r="G19" s="25" t="s">
        <v>319</v>
      </c>
      <c r="H19" s="25">
        <v>1169.28</v>
      </c>
      <c r="I19" s="25">
        <v>2</v>
      </c>
      <c r="J19" s="25">
        <v>273.95</v>
      </c>
      <c r="K19" s="25" t="s">
        <v>266</v>
      </c>
      <c r="L19" s="25">
        <v>2338.56</v>
      </c>
      <c r="M19" s="26" t="s">
        <v>395</v>
      </c>
      <c r="N19" s="25">
        <v>11.71</v>
      </c>
    </row>
    <row r="20" spans="1:14">
      <c r="A20" s="25" t="s">
        <v>416</v>
      </c>
      <c r="B20" s="25" t="s">
        <v>381</v>
      </c>
      <c r="C20" s="25" t="s">
        <v>382</v>
      </c>
      <c r="D20" s="25" t="s">
        <v>383</v>
      </c>
      <c r="E20" s="30">
        <v>9245312903</v>
      </c>
      <c r="F20" s="25" t="s">
        <v>388</v>
      </c>
      <c r="G20" s="25" t="s">
        <v>323</v>
      </c>
      <c r="H20" s="25">
        <v>2320.0300000000002</v>
      </c>
      <c r="I20" s="25">
        <v>3</v>
      </c>
      <c r="J20" s="25">
        <v>1260.55</v>
      </c>
      <c r="K20" s="25" t="s">
        <v>266</v>
      </c>
      <c r="L20" s="25">
        <v>6960.09</v>
      </c>
      <c r="M20" s="26" t="s">
        <v>399</v>
      </c>
      <c r="N20" s="25">
        <v>18.11</v>
      </c>
    </row>
    <row r="21" spans="1:14">
      <c r="A21" s="25" t="s">
        <v>417</v>
      </c>
      <c r="B21" s="25" t="s">
        <v>415</v>
      </c>
      <c r="C21" s="25" t="s">
        <v>382</v>
      </c>
      <c r="D21" s="25" t="s">
        <v>393</v>
      </c>
      <c r="E21" s="30">
        <v>9587137236</v>
      </c>
      <c r="F21" s="25" t="s">
        <v>384</v>
      </c>
      <c r="G21" s="25" t="s">
        <v>394</v>
      </c>
      <c r="H21" s="25">
        <v>1780.66</v>
      </c>
      <c r="I21" s="25">
        <v>11</v>
      </c>
      <c r="J21" s="25">
        <v>2826.93</v>
      </c>
      <c r="K21" s="25" t="s">
        <v>281</v>
      </c>
      <c r="L21" s="25">
        <v>19587.259999999998</v>
      </c>
      <c r="M21" s="26" t="s">
        <v>386</v>
      </c>
      <c r="N21" s="25">
        <v>14.43</v>
      </c>
    </row>
    <row r="22" spans="1:14">
      <c r="A22" s="25" t="s">
        <v>418</v>
      </c>
      <c r="B22" s="25" t="s">
        <v>415</v>
      </c>
      <c r="C22" s="25" t="s">
        <v>382</v>
      </c>
      <c r="D22" s="25" t="s">
        <v>404</v>
      </c>
      <c r="E22" s="30">
        <v>9161819590</v>
      </c>
      <c r="F22" s="25" t="s">
        <v>264</v>
      </c>
      <c r="G22" s="25" t="s">
        <v>239</v>
      </c>
      <c r="H22" s="25">
        <v>2672</v>
      </c>
      <c r="I22" s="25">
        <v>15</v>
      </c>
      <c r="J22" s="25">
        <v>4719.91</v>
      </c>
      <c r="K22" s="25" t="s">
        <v>398</v>
      </c>
      <c r="L22" s="25">
        <v>40080</v>
      </c>
      <c r="M22" s="26" t="s">
        <v>386</v>
      </c>
      <c r="N22" s="25">
        <v>11.78</v>
      </c>
    </row>
    <row r="23" spans="1:14">
      <c r="A23" s="25" t="s">
        <v>419</v>
      </c>
      <c r="B23" s="25" t="s">
        <v>392</v>
      </c>
      <c r="C23" s="25" t="s">
        <v>382</v>
      </c>
      <c r="D23" s="25" t="s">
        <v>393</v>
      </c>
      <c r="E23" s="30">
        <v>9551484924</v>
      </c>
      <c r="F23" s="25" t="s">
        <v>384</v>
      </c>
      <c r="G23" s="25" t="s">
        <v>420</v>
      </c>
      <c r="H23" s="25">
        <v>824.49</v>
      </c>
      <c r="I23" s="25">
        <v>9</v>
      </c>
      <c r="J23" s="25">
        <v>1403.14</v>
      </c>
      <c r="K23" s="25" t="s">
        <v>421</v>
      </c>
      <c r="L23" s="25">
        <v>7420.41</v>
      </c>
      <c r="M23" s="26" t="s">
        <v>399</v>
      </c>
      <c r="N23" s="25">
        <v>18.91</v>
      </c>
    </row>
    <row r="24" spans="1:14">
      <c r="A24" s="25" t="s">
        <v>422</v>
      </c>
      <c r="B24" s="25" t="s">
        <v>403</v>
      </c>
      <c r="C24" s="25" t="s">
        <v>382</v>
      </c>
      <c r="D24" s="25" t="s">
        <v>423</v>
      </c>
      <c r="E24" s="31">
        <v>91682255459</v>
      </c>
      <c r="F24" s="25" t="s">
        <v>264</v>
      </c>
      <c r="G24" s="25" t="s">
        <v>247</v>
      </c>
      <c r="H24" s="25">
        <v>2896.96</v>
      </c>
      <c r="I24" s="25">
        <v>7</v>
      </c>
      <c r="J24" s="25">
        <v>3528.3</v>
      </c>
      <c r="K24" s="25" t="s">
        <v>390</v>
      </c>
      <c r="L24" s="25">
        <v>20278.72</v>
      </c>
      <c r="M24" s="26" t="s">
        <v>386</v>
      </c>
      <c r="N24" s="25">
        <v>17.399999999999999</v>
      </c>
    </row>
    <row r="25" spans="1:14">
      <c r="A25" s="25" t="s">
        <v>424</v>
      </c>
      <c r="B25" s="25" t="s">
        <v>392</v>
      </c>
      <c r="C25" s="25" t="s">
        <v>382</v>
      </c>
      <c r="D25" s="25" t="s">
        <v>408</v>
      </c>
      <c r="E25" s="30">
        <v>9277023818</v>
      </c>
      <c r="F25" s="25" t="s">
        <v>264</v>
      </c>
      <c r="G25" s="25" t="s">
        <v>239</v>
      </c>
      <c r="H25" s="25">
        <v>1235.32</v>
      </c>
      <c r="I25" s="25">
        <v>9</v>
      </c>
      <c r="J25" s="25">
        <v>2542.0700000000002</v>
      </c>
      <c r="K25" s="25" t="s">
        <v>421</v>
      </c>
      <c r="L25" s="25">
        <v>11117.88</v>
      </c>
      <c r="M25" s="26" t="s">
        <v>386</v>
      </c>
      <c r="N25" s="25">
        <v>22.86</v>
      </c>
    </row>
    <row r="26" spans="1:14">
      <c r="A26" s="25" t="s">
        <v>425</v>
      </c>
      <c r="B26" s="25" t="s">
        <v>403</v>
      </c>
      <c r="C26" s="25" t="s">
        <v>382</v>
      </c>
      <c r="D26" s="25" t="s">
        <v>410</v>
      </c>
      <c r="E26" s="30">
        <v>9670448490</v>
      </c>
      <c r="F26" s="25" t="s">
        <v>388</v>
      </c>
      <c r="G26" s="25" t="s">
        <v>389</v>
      </c>
      <c r="H26" s="25">
        <v>2168.33</v>
      </c>
      <c r="I26" s="25">
        <v>3</v>
      </c>
      <c r="J26" s="25">
        <v>1394.93</v>
      </c>
      <c r="K26" s="25" t="s">
        <v>398</v>
      </c>
      <c r="L26" s="25">
        <v>6504.99</v>
      </c>
      <c r="M26" s="26" t="s">
        <v>399</v>
      </c>
      <c r="N26" s="25">
        <v>21.44</v>
      </c>
    </row>
    <row r="27" spans="1:14">
      <c r="A27" s="25" t="s">
        <v>426</v>
      </c>
      <c r="B27" s="25" t="s">
        <v>403</v>
      </c>
      <c r="C27" s="25" t="s">
        <v>382</v>
      </c>
      <c r="D27" s="25" t="s">
        <v>393</v>
      </c>
      <c r="E27" s="30">
        <v>9123788207</v>
      </c>
      <c r="F27" s="25" t="s">
        <v>384</v>
      </c>
      <c r="G27" s="25" t="s">
        <v>420</v>
      </c>
      <c r="H27" s="25">
        <v>2654.54</v>
      </c>
      <c r="I27" s="25">
        <v>5</v>
      </c>
      <c r="J27" s="25">
        <v>3308.52</v>
      </c>
      <c r="K27" s="25" t="s">
        <v>421</v>
      </c>
      <c r="L27" s="25">
        <v>13272.7</v>
      </c>
      <c r="M27" s="26" t="s">
        <v>386</v>
      </c>
      <c r="N27" s="25">
        <v>24.93</v>
      </c>
    </row>
    <row r="28" spans="1:14">
      <c r="A28" s="25" t="s">
        <v>427</v>
      </c>
      <c r="B28" s="25" t="s">
        <v>381</v>
      </c>
      <c r="C28" s="25" t="s">
        <v>382</v>
      </c>
      <c r="D28" s="25" t="s">
        <v>404</v>
      </c>
      <c r="E28" s="31">
        <v>99831923457</v>
      </c>
      <c r="F28" s="25" t="s">
        <v>264</v>
      </c>
      <c r="G28" s="25" t="s">
        <v>233</v>
      </c>
      <c r="H28" s="25">
        <v>1313.77</v>
      </c>
      <c r="I28" s="25">
        <v>7</v>
      </c>
      <c r="J28" s="25">
        <v>2435.5500000000002</v>
      </c>
      <c r="K28" s="25" t="s">
        <v>398</v>
      </c>
      <c r="L28" s="25">
        <v>9196.39</v>
      </c>
      <c r="M28" s="26" t="s">
        <v>399</v>
      </c>
      <c r="N28" s="25">
        <v>26.48</v>
      </c>
    </row>
    <row r="29" spans="1:14">
      <c r="A29" s="25" t="s">
        <v>428</v>
      </c>
      <c r="B29" s="25" t="s">
        <v>403</v>
      </c>
      <c r="C29" s="25" t="s">
        <v>382</v>
      </c>
      <c r="D29" s="25" t="s">
        <v>410</v>
      </c>
      <c r="E29" s="30">
        <v>9822358874</v>
      </c>
      <c r="F29" s="25" t="s">
        <v>264</v>
      </c>
      <c r="G29" s="25" t="s">
        <v>247</v>
      </c>
      <c r="H29" s="25">
        <v>1602.24</v>
      </c>
      <c r="I29" s="25">
        <v>13</v>
      </c>
      <c r="J29" s="25">
        <v>3082.85</v>
      </c>
      <c r="K29" s="25" t="s">
        <v>421</v>
      </c>
      <c r="L29" s="25">
        <v>20829.12</v>
      </c>
      <c r="M29" s="26" t="s">
        <v>386</v>
      </c>
      <c r="N29" s="25">
        <v>14.8</v>
      </c>
    </row>
    <row r="30" spans="1:14">
      <c r="A30" s="25" t="s">
        <v>429</v>
      </c>
      <c r="B30" s="25" t="s">
        <v>381</v>
      </c>
      <c r="C30" s="25" t="s">
        <v>382</v>
      </c>
      <c r="D30" s="25" t="s">
        <v>423</v>
      </c>
      <c r="E30" s="30">
        <v>9497595031</v>
      </c>
      <c r="F30" s="25" t="s">
        <v>388</v>
      </c>
      <c r="G30" s="25" t="s">
        <v>397</v>
      </c>
      <c r="H30" s="25">
        <v>592.33000000000004</v>
      </c>
      <c r="I30" s="25">
        <v>4</v>
      </c>
      <c r="J30" s="25">
        <v>539.64</v>
      </c>
      <c r="K30" s="25" t="s">
        <v>390</v>
      </c>
      <c r="L30" s="25">
        <v>2369.3200000000002</v>
      </c>
      <c r="M30" s="26" t="s">
        <v>395</v>
      </c>
      <c r="N30" s="25">
        <v>22.78</v>
      </c>
    </row>
    <row r="31" spans="1:14">
      <c r="A31" s="25" t="s">
        <v>430</v>
      </c>
      <c r="B31" s="25" t="s">
        <v>392</v>
      </c>
      <c r="C31" s="25" t="s">
        <v>382</v>
      </c>
      <c r="D31" s="25" t="s">
        <v>412</v>
      </c>
      <c r="E31" s="30">
        <v>9781615192</v>
      </c>
      <c r="F31" s="25" t="s">
        <v>264</v>
      </c>
      <c r="G31" s="25" t="s">
        <v>239</v>
      </c>
      <c r="H31" s="25">
        <v>589.14</v>
      </c>
      <c r="I31" s="25">
        <v>8</v>
      </c>
      <c r="J31" s="25">
        <v>1252.56</v>
      </c>
      <c r="K31" s="25" t="s">
        <v>398</v>
      </c>
      <c r="L31" s="25">
        <v>4713.12</v>
      </c>
      <c r="M31" s="26" t="s">
        <v>395</v>
      </c>
      <c r="N31" s="25">
        <v>26.58</v>
      </c>
    </row>
    <row r="32" spans="1:14">
      <c r="A32" s="25" t="s">
        <v>431</v>
      </c>
      <c r="B32" s="25" t="s">
        <v>415</v>
      </c>
      <c r="C32" s="25" t="s">
        <v>382</v>
      </c>
      <c r="D32" s="25" t="s">
        <v>423</v>
      </c>
      <c r="E32" s="30">
        <v>9310431691</v>
      </c>
      <c r="F32" s="25" t="s">
        <v>388</v>
      </c>
      <c r="G32" s="25" t="s">
        <v>406</v>
      </c>
      <c r="H32" s="25">
        <v>2354.6</v>
      </c>
      <c r="I32" s="25">
        <v>4</v>
      </c>
      <c r="J32" s="25">
        <v>2575.4299999999998</v>
      </c>
      <c r="K32" s="25" t="s">
        <v>266</v>
      </c>
      <c r="L32" s="25">
        <v>9418.4</v>
      </c>
      <c r="M32" s="26" t="s">
        <v>399</v>
      </c>
      <c r="N32" s="25">
        <v>27.34</v>
      </c>
    </row>
    <row r="33" spans="1:14">
      <c r="A33" s="25" t="s">
        <v>432</v>
      </c>
      <c r="B33" s="25" t="s">
        <v>403</v>
      </c>
      <c r="C33" s="25" t="s">
        <v>382</v>
      </c>
      <c r="D33" s="25" t="s">
        <v>423</v>
      </c>
      <c r="E33" s="30">
        <v>9375633062</v>
      </c>
      <c r="F33" s="25" t="s">
        <v>264</v>
      </c>
      <c r="G33" s="25" t="s">
        <v>287</v>
      </c>
      <c r="H33" s="25">
        <v>1920.55</v>
      </c>
      <c r="I33" s="25">
        <v>6</v>
      </c>
      <c r="J33" s="25">
        <v>2254.59</v>
      </c>
      <c r="K33" s="25" t="s">
        <v>266</v>
      </c>
      <c r="L33" s="25">
        <v>11523.3</v>
      </c>
      <c r="M33" s="26" t="s">
        <v>386</v>
      </c>
      <c r="N33" s="25">
        <v>19.57</v>
      </c>
    </row>
    <row r="34" spans="1:14">
      <c r="A34" s="25" t="s">
        <v>433</v>
      </c>
      <c r="B34" s="25" t="s">
        <v>403</v>
      </c>
      <c r="C34" s="25" t="s">
        <v>382</v>
      </c>
      <c r="D34" s="25" t="s">
        <v>393</v>
      </c>
      <c r="E34" s="30">
        <v>9958467371</v>
      </c>
      <c r="F34" s="25" t="s">
        <v>384</v>
      </c>
      <c r="G34" s="25" t="s">
        <v>285</v>
      </c>
      <c r="H34" s="25">
        <v>1086.4100000000001</v>
      </c>
      <c r="I34" s="25">
        <v>7</v>
      </c>
      <c r="J34" s="25">
        <v>2066.7600000000002</v>
      </c>
      <c r="K34" s="25" t="s">
        <v>266</v>
      </c>
      <c r="L34" s="25">
        <v>7604.87</v>
      </c>
      <c r="M34" s="26" t="s">
        <v>399</v>
      </c>
      <c r="N34" s="25">
        <v>27.18</v>
      </c>
    </row>
    <row r="35" spans="1:14">
      <c r="A35" s="25" t="s">
        <v>434</v>
      </c>
      <c r="B35" s="25" t="s">
        <v>403</v>
      </c>
      <c r="C35" s="25" t="s">
        <v>382</v>
      </c>
      <c r="D35" s="25" t="s">
        <v>393</v>
      </c>
      <c r="E35" s="30">
        <v>9485913642</v>
      </c>
      <c r="F35" s="25" t="s">
        <v>388</v>
      </c>
      <c r="G35" s="25" t="s">
        <v>323</v>
      </c>
      <c r="H35" s="25">
        <v>1181.07</v>
      </c>
      <c r="I35" s="25">
        <v>13</v>
      </c>
      <c r="J35" s="25">
        <v>3821.07</v>
      </c>
      <c r="K35" s="25" t="s">
        <v>398</v>
      </c>
      <c r="L35" s="25">
        <v>15353.91</v>
      </c>
      <c r="M35" s="26" t="s">
        <v>386</v>
      </c>
      <c r="N35" s="25">
        <v>24.89</v>
      </c>
    </row>
    <row r="36" spans="1:14">
      <c r="A36" s="25" t="s">
        <v>435</v>
      </c>
      <c r="B36" s="25" t="s">
        <v>403</v>
      </c>
      <c r="C36" s="25" t="s">
        <v>382</v>
      </c>
      <c r="D36" s="25" t="s">
        <v>423</v>
      </c>
      <c r="E36" s="30">
        <v>9942727052</v>
      </c>
      <c r="F36" s="25" t="s">
        <v>388</v>
      </c>
      <c r="G36" s="25" t="s">
        <v>436</v>
      </c>
      <c r="H36" s="25">
        <v>2521.1999999999998</v>
      </c>
      <c r="I36" s="25">
        <v>8</v>
      </c>
      <c r="J36" s="27">
        <v>6046.68</v>
      </c>
      <c r="K36" s="25" t="s">
        <v>266</v>
      </c>
      <c r="L36" s="25">
        <v>20169.599999999999</v>
      </c>
      <c r="M36" s="26" t="s">
        <v>386</v>
      </c>
      <c r="N36" s="25">
        <v>29.98</v>
      </c>
    </row>
    <row r="37" spans="1:14">
      <c r="A37" s="25" t="s">
        <v>437</v>
      </c>
      <c r="B37" s="25" t="s">
        <v>392</v>
      </c>
      <c r="C37" s="25" t="s">
        <v>382</v>
      </c>
      <c r="D37" s="25" t="s">
        <v>410</v>
      </c>
      <c r="E37" s="30">
        <v>9164209990</v>
      </c>
      <c r="F37" s="25" t="s">
        <v>384</v>
      </c>
      <c r="G37" s="25" t="s">
        <v>278</v>
      </c>
      <c r="H37" s="25">
        <v>1741.71</v>
      </c>
      <c r="I37" s="25">
        <v>15</v>
      </c>
      <c r="J37" s="25">
        <v>4026.14</v>
      </c>
      <c r="K37" s="25" t="s">
        <v>281</v>
      </c>
      <c r="L37" s="25">
        <v>26125.65</v>
      </c>
      <c r="M37" s="26" t="s">
        <v>386</v>
      </c>
      <c r="N37" s="25">
        <v>15.41</v>
      </c>
    </row>
    <row r="38" spans="1:14">
      <c r="A38" s="25" t="s">
        <v>438</v>
      </c>
      <c r="B38" s="25" t="s">
        <v>392</v>
      </c>
      <c r="C38" s="25" t="s">
        <v>382</v>
      </c>
      <c r="D38" s="25" t="s">
        <v>423</v>
      </c>
      <c r="E38" s="30">
        <v>9972130283</v>
      </c>
      <c r="F38" s="25" t="s">
        <v>388</v>
      </c>
      <c r="G38" s="25" t="s">
        <v>397</v>
      </c>
      <c r="H38" s="25">
        <v>1691.18</v>
      </c>
      <c r="I38" s="25">
        <v>9</v>
      </c>
      <c r="J38" s="25">
        <v>3286.83</v>
      </c>
      <c r="K38" s="25" t="s">
        <v>390</v>
      </c>
      <c r="L38" s="25">
        <v>15220.62</v>
      </c>
      <c r="M38" s="26" t="s">
        <v>386</v>
      </c>
      <c r="N38" s="25">
        <v>21.59</v>
      </c>
    </row>
    <row r="39" spans="1:14">
      <c r="A39" s="25" t="s">
        <v>439</v>
      </c>
      <c r="B39" s="25" t="s">
        <v>392</v>
      </c>
      <c r="C39" s="25" t="s">
        <v>382</v>
      </c>
      <c r="D39" s="25" t="s">
        <v>423</v>
      </c>
      <c r="E39" s="30">
        <v>9305312346</v>
      </c>
      <c r="F39" s="25" t="s">
        <v>384</v>
      </c>
      <c r="G39" s="25" t="s">
        <v>420</v>
      </c>
      <c r="H39" s="25">
        <v>2430.4899999999998</v>
      </c>
      <c r="I39" s="25">
        <v>1</v>
      </c>
      <c r="J39" s="25">
        <v>538.34</v>
      </c>
      <c r="K39" s="25" t="s">
        <v>421</v>
      </c>
      <c r="L39" s="25">
        <v>2430.4899999999998</v>
      </c>
      <c r="M39" s="26" t="s">
        <v>395</v>
      </c>
      <c r="N39" s="25">
        <v>22.15</v>
      </c>
    </row>
    <row r="40" spans="1:14">
      <c r="A40" s="25" t="s">
        <v>440</v>
      </c>
      <c r="B40" s="25" t="s">
        <v>381</v>
      </c>
      <c r="C40" s="25" t="s">
        <v>382</v>
      </c>
      <c r="D40" s="25" t="s">
        <v>423</v>
      </c>
      <c r="E40" s="30">
        <v>9403336927</v>
      </c>
      <c r="F40" s="25" t="s">
        <v>384</v>
      </c>
      <c r="G40" s="25" t="s">
        <v>285</v>
      </c>
      <c r="H40" s="25">
        <v>1937.5</v>
      </c>
      <c r="I40" s="25">
        <v>10</v>
      </c>
      <c r="J40" s="25">
        <v>2548.08</v>
      </c>
      <c r="K40" s="25" t="s">
        <v>281</v>
      </c>
      <c r="L40" s="25">
        <v>19375</v>
      </c>
      <c r="M40" s="26" t="s">
        <v>386</v>
      </c>
      <c r="N40" s="25">
        <v>13.15</v>
      </c>
    </row>
    <row r="41" spans="1:14">
      <c r="A41" s="25" t="s">
        <v>441</v>
      </c>
      <c r="B41" s="25" t="s">
        <v>415</v>
      </c>
      <c r="C41" s="25" t="s">
        <v>382</v>
      </c>
      <c r="D41" s="25" t="s">
        <v>383</v>
      </c>
      <c r="E41" s="30">
        <v>9209432112</v>
      </c>
      <c r="F41" s="25" t="s">
        <v>384</v>
      </c>
      <c r="G41" s="25" t="s">
        <v>394</v>
      </c>
      <c r="H41" s="25">
        <v>2848.61</v>
      </c>
      <c r="I41" s="25">
        <v>15</v>
      </c>
      <c r="J41" s="27">
        <v>6188.69</v>
      </c>
      <c r="K41" s="25" t="s">
        <v>421</v>
      </c>
      <c r="L41" s="25">
        <v>42729.15</v>
      </c>
      <c r="M41" s="26" t="s">
        <v>386</v>
      </c>
      <c r="N41" s="25">
        <v>14.48</v>
      </c>
    </row>
    <row r="42" spans="1:14">
      <c r="A42" s="25" t="s">
        <v>442</v>
      </c>
      <c r="B42" s="25" t="s">
        <v>415</v>
      </c>
      <c r="C42" s="25" t="s">
        <v>382</v>
      </c>
      <c r="D42" s="25" t="s">
        <v>408</v>
      </c>
      <c r="E42" s="31">
        <v>92886736565</v>
      </c>
      <c r="F42" s="25" t="s">
        <v>388</v>
      </c>
      <c r="G42" s="25" t="s">
        <v>436</v>
      </c>
      <c r="H42" s="25">
        <v>537.01</v>
      </c>
      <c r="I42" s="25">
        <v>15</v>
      </c>
      <c r="J42" s="25">
        <v>848.33</v>
      </c>
      <c r="K42" s="25" t="s">
        <v>421</v>
      </c>
      <c r="L42" s="25">
        <v>8055.15</v>
      </c>
      <c r="M42" s="26" t="s">
        <v>399</v>
      </c>
      <c r="N42" s="25">
        <v>10.53</v>
      </c>
    </row>
    <row r="43" spans="1:14">
      <c r="A43" s="25" t="s">
        <v>443</v>
      </c>
      <c r="B43" s="25" t="s">
        <v>403</v>
      </c>
      <c r="C43" s="25" t="s">
        <v>382</v>
      </c>
      <c r="D43" s="25" t="s">
        <v>383</v>
      </c>
      <c r="E43" s="30">
        <v>9696039067</v>
      </c>
      <c r="F43" s="25" t="s">
        <v>388</v>
      </c>
      <c r="G43" s="25" t="s">
        <v>397</v>
      </c>
      <c r="H43" s="25">
        <v>2052.79</v>
      </c>
      <c r="I43" s="25">
        <v>1</v>
      </c>
      <c r="J43" s="25">
        <v>296.79000000000002</v>
      </c>
      <c r="K43" s="25" t="s">
        <v>390</v>
      </c>
      <c r="L43" s="25">
        <v>2052.79</v>
      </c>
      <c r="M43" s="26" t="s">
        <v>395</v>
      </c>
      <c r="N43" s="25">
        <v>14.46</v>
      </c>
    </row>
    <row r="44" spans="1:14">
      <c r="A44" s="25" t="s">
        <v>444</v>
      </c>
      <c r="B44" s="25" t="s">
        <v>403</v>
      </c>
      <c r="C44" s="25" t="s">
        <v>382</v>
      </c>
      <c r="D44" s="25" t="s">
        <v>408</v>
      </c>
      <c r="E44" s="30">
        <v>9729755086</v>
      </c>
      <c r="F44" s="25" t="s">
        <v>384</v>
      </c>
      <c r="G44" s="25" t="s">
        <v>420</v>
      </c>
      <c r="H44" s="25">
        <v>1708.1</v>
      </c>
      <c r="I44" s="25">
        <v>3</v>
      </c>
      <c r="J44" s="25">
        <v>897.22</v>
      </c>
      <c r="K44" s="25" t="s">
        <v>266</v>
      </c>
      <c r="L44" s="25">
        <v>5124.3</v>
      </c>
      <c r="M44" s="26" t="s">
        <v>399</v>
      </c>
      <c r="N44" s="25">
        <v>17.510000000000002</v>
      </c>
    </row>
    <row r="45" spans="1:14">
      <c r="A45" s="25" t="s">
        <v>445</v>
      </c>
      <c r="B45" s="25" t="s">
        <v>403</v>
      </c>
      <c r="C45" s="25" t="s">
        <v>382</v>
      </c>
      <c r="D45" s="25" t="s">
        <v>423</v>
      </c>
      <c r="E45" s="30">
        <v>9291717779</v>
      </c>
      <c r="F45" s="25" t="s">
        <v>264</v>
      </c>
      <c r="G45" s="25" t="s">
        <v>247</v>
      </c>
      <c r="H45" s="25">
        <v>1616.55</v>
      </c>
      <c r="I45" s="25">
        <v>14</v>
      </c>
      <c r="J45" s="27">
        <v>6621.29</v>
      </c>
      <c r="K45" s="25" t="s">
        <v>266</v>
      </c>
      <c r="L45" s="25">
        <v>22631.7</v>
      </c>
      <c r="M45" s="26" t="s">
        <v>386</v>
      </c>
      <c r="N45" s="25">
        <v>29.26</v>
      </c>
    </row>
    <row r="46" spans="1:14">
      <c r="A46" s="25" t="s">
        <v>446</v>
      </c>
      <c r="B46" s="25" t="s">
        <v>403</v>
      </c>
      <c r="C46" s="25" t="s">
        <v>382</v>
      </c>
      <c r="D46" s="25" t="s">
        <v>383</v>
      </c>
      <c r="E46" s="30">
        <v>9596984707</v>
      </c>
      <c r="F46" s="25" t="s">
        <v>384</v>
      </c>
      <c r="G46" s="25" t="s">
        <v>278</v>
      </c>
      <c r="H46" s="25">
        <v>1774.62</v>
      </c>
      <c r="I46" s="25">
        <v>7</v>
      </c>
      <c r="J46" s="25">
        <v>3378.16</v>
      </c>
      <c r="K46" s="25" t="s">
        <v>266</v>
      </c>
      <c r="L46" s="25">
        <v>12422.34</v>
      </c>
      <c r="M46" s="26" t="s">
        <v>386</v>
      </c>
      <c r="N46" s="25">
        <v>27.19</v>
      </c>
    </row>
    <row r="47" spans="1:14">
      <c r="A47" s="25" t="s">
        <v>447</v>
      </c>
      <c r="B47" s="25" t="s">
        <v>392</v>
      </c>
      <c r="C47" s="25" t="s">
        <v>382</v>
      </c>
      <c r="D47" s="25" t="s">
        <v>410</v>
      </c>
      <c r="E47" s="30">
        <v>9621477109</v>
      </c>
      <c r="F47" s="25" t="s">
        <v>264</v>
      </c>
      <c r="G47" s="25" t="s">
        <v>287</v>
      </c>
      <c r="H47" s="25">
        <v>644.14</v>
      </c>
      <c r="I47" s="25">
        <v>12</v>
      </c>
      <c r="J47" s="25">
        <v>988.52</v>
      </c>
      <c r="K47" s="25" t="s">
        <v>398</v>
      </c>
      <c r="L47" s="25">
        <v>7729.68</v>
      </c>
      <c r="M47" s="26" t="s">
        <v>399</v>
      </c>
      <c r="N47" s="25">
        <v>12.79</v>
      </c>
    </row>
    <row r="48" spans="1:14">
      <c r="A48" s="25" t="s">
        <v>448</v>
      </c>
      <c r="B48" s="25" t="s">
        <v>392</v>
      </c>
      <c r="C48" s="25" t="s">
        <v>382</v>
      </c>
      <c r="D48" s="25" t="s">
        <v>393</v>
      </c>
      <c r="E48" s="30">
        <v>9813614929</v>
      </c>
      <c r="F48" s="25" t="s">
        <v>388</v>
      </c>
      <c r="G48" s="25" t="s">
        <v>397</v>
      </c>
      <c r="H48" s="25">
        <v>1767.47</v>
      </c>
      <c r="I48" s="25">
        <v>13</v>
      </c>
      <c r="J48" s="25">
        <v>3353.4</v>
      </c>
      <c r="K48" s="25" t="s">
        <v>281</v>
      </c>
      <c r="L48" s="25">
        <v>22977.11</v>
      </c>
      <c r="M48" s="26" t="s">
        <v>386</v>
      </c>
      <c r="N48" s="25">
        <v>14.59</v>
      </c>
    </row>
    <row r="49" spans="1:14">
      <c r="A49" s="25" t="s">
        <v>449</v>
      </c>
      <c r="B49" s="25" t="s">
        <v>403</v>
      </c>
      <c r="C49" s="25" t="s">
        <v>382</v>
      </c>
      <c r="D49" s="25" t="s">
        <v>404</v>
      </c>
      <c r="E49" s="30">
        <v>9314930259</v>
      </c>
      <c r="F49" s="25" t="s">
        <v>384</v>
      </c>
      <c r="G49" s="25" t="s">
        <v>285</v>
      </c>
      <c r="H49" s="25">
        <v>2506.6</v>
      </c>
      <c r="I49" s="25">
        <v>11</v>
      </c>
      <c r="J49" s="27">
        <v>8011.16</v>
      </c>
      <c r="K49" s="25" t="s">
        <v>281</v>
      </c>
      <c r="L49" s="25">
        <v>27572.6</v>
      </c>
      <c r="M49" s="26" t="s">
        <v>386</v>
      </c>
      <c r="N49" s="25">
        <v>29.05</v>
      </c>
    </row>
    <row r="50" spans="1:14">
      <c r="A50" s="25" t="s">
        <v>450</v>
      </c>
      <c r="B50" s="25" t="s">
        <v>381</v>
      </c>
      <c r="C50" s="25" t="s">
        <v>382</v>
      </c>
      <c r="D50" s="25" t="s">
        <v>393</v>
      </c>
      <c r="E50" s="31">
        <v>93262535688</v>
      </c>
      <c r="F50" s="25" t="s">
        <v>264</v>
      </c>
      <c r="G50" s="25" t="s">
        <v>319</v>
      </c>
      <c r="H50" s="25">
        <v>727.87</v>
      </c>
      <c r="I50" s="25">
        <v>2</v>
      </c>
      <c r="J50" s="25">
        <v>385.93</v>
      </c>
      <c r="K50" s="25" t="s">
        <v>266</v>
      </c>
      <c r="L50" s="25">
        <v>1455.74</v>
      </c>
      <c r="M50" s="26" t="s">
        <v>395</v>
      </c>
      <c r="N50" s="25">
        <v>26.51</v>
      </c>
    </row>
    <row r="51" spans="1:14">
      <c r="A51" s="25" t="s">
        <v>451</v>
      </c>
      <c r="B51" s="25" t="s">
        <v>381</v>
      </c>
      <c r="C51" s="25" t="s">
        <v>382</v>
      </c>
      <c r="D51" s="25" t="s">
        <v>423</v>
      </c>
      <c r="E51" s="30">
        <v>9922473225</v>
      </c>
      <c r="F51" s="25" t="s">
        <v>388</v>
      </c>
      <c r="G51" s="25" t="s">
        <v>397</v>
      </c>
      <c r="H51" s="25">
        <v>2509.39</v>
      </c>
      <c r="I51" s="25">
        <v>4</v>
      </c>
      <c r="J51" s="25">
        <v>2607.48</v>
      </c>
      <c r="K51" s="25" t="s">
        <v>266</v>
      </c>
      <c r="L51" s="25">
        <v>10037.56</v>
      </c>
      <c r="M51" s="26" t="s">
        <v>386</v>
      </c>
      <c r="N51" s="25">
        <v>25.98</v>
      </c>
    </row>
    <row r="52" spans="1:14">
      <c r="A52" s="25" t="s">
        <v>452</v>
      </c>
      <c r="B52" s="25" t="s">
        <v>415</v>
      </c>
      <c r="C52" s="25" t="s">
        <v>382</v>
      </c>
      <c r="D52" s="25" t="s">
        <v>412</v>
      </c>
      <c r="E52" s="30">
        <v>9435049619</v>
      </c>
      <c r="F52" s="25" t="s">
        <v>264</v>
      </c>
      <c r="G52" s="25" t="s">
        <v>239</v>
      </c>
      <c r="H52" s="25">
        <v>254.27</v>
      </c>
      <c r="I52" s="25">
        <v>5</v>
      </c>
      <c r="J52" s="25">
        <v>247.89</v>
      </c>
      <c r="K52" s="25" t="s">
        <v>390</v>
      </c>
      <c r="L52" s="25">
        <v>1271.3499999999999</v>
      </c>
      <c r="M52" s="26" t="s">
        <v>395</v>
      </c>
      <c r="N52" s="25">
        <v>19.5</v>
      </c>
    </row>
    <row r="53" spans="1:14">
      <c r="A53" s="25" t="s">
        <v>453</v>
      </c>
      <c r="B53" s="25" t="s">
        <v>403</v>
      </c>
      <c r="C53" s="25" t="s">
        <v>382</v>
      </c>
      <c r="D53" s="25" t="s">
        <v>423</v>
      </c>
      <c r="E53" s="30">
        <v>9139717689</v>
      </c>
      <c r="F53" s="25" t="s">
        <v>264</v>
      </c>
      <c r="G53" s="25" t="s">
        <v>319</v>
      </c>
      <c r="H53" s="25">
        <v>1104.23</v>
      </c>
      <c r="I53" s="25">
        <v>11</v>
      </c>
      <c r="J53" s="25">
        <v>1883.37</v>
      </c>
      <c r="K53" s="25" t="s">
        <v>266</v>
      </c>
      <c r="L53" s="25">
        <v>12146.53</v>
      </c>
      <c r="M53" s="26" t="s">
        <v>386</v>
      </c>
      <c r="N53" s="25">
        <v>15.51</v>
      </c>
    </row>
    <row r="54" spans="1:14">
      <c r="A54" s="25" t="s">
        <v>454</v>
      </c>
      <c r="B54" s="25" t="s">
        <v>392</v>
      </c>
      <c r="C54" s="25" t="s">
        <v>382</v>
      </c>
      <c r="D54" s="25" t="s">
        <v>393</v>
      </c>
      <c r="E54" s="30">
        <v>9873282041</v>
      </c>
      <c r="F54" s="25" t="s">
        <v>264</v>
      </c>
      <c r="G54" s="25" t="s">
        <v>233</v>
      </c>
      <c r="H54" s="25">
        <v>861.53</v>
      </c>
      <c r="I54" s="25">
        <v>3</v>
      </c>
      <c r="J54" s="25">
        <v>482.01</v>
      </c>
      <c r="K54" s="25" t="s">
        <v>421</v>
      </c>
      <c r="L54" s="25">
        <v>2584.59</v>
      </c>
      <c r="M54" s="26" t="s">
        <v>395</v>
      </c>
      <c r="N54" s="25">
        <v>18.649999999999999</v>
      </c>
    </row>
    <row r="55" spans="1:14">
      <c r="A55" s="25" t="s">
        <v>455</v>
      </c>
      <c r="B55" s="25" t="s">
        <v>415</v>
      </c>
      <c r="C55" s="25" t="s">
        <v>382</v>
      </c>
      <c r="D55" s="25" t="s">
        <v>393</v>
      </c>
      <c r="E55" s="30">
        <v>9520705759</v>
      </c>
      <c r="F55" s="25" t="s">
        <v>384</v>
      </c>
      <c r="G55" s="25" t="s">
        <v>394</v>
      </c>
      <c r="H55" s="25">
        <v>940.76</v>
      </c>
      <c r="I55" s="25">
        <v>4</v>
      </c>
      <c r="J55" s="25">
        <v>842.47</v>
      </c>
      <c r="K55" s="25" t="s">
        <v>421</v>
      </c>
      <c r="L55" s="25">
        <v>3763.04</v>
      </c>
      <c r="M55" s="26" t="s">
        <v>395</v>
      </c>
      <c r="N55" s="25">
        <v>22.39</v>
      </c>
    </row>
    <row r="56" spans="1:14">
      <c r="A56" s="25" t="s">
        <v>456</v>
      </c>
      <c r="B56" s="25" t="s">
        <v>403</v>
      </c>
      <c r="C56" s="25" t="s">
        <v>382</v>
      </c>
      <c r="D56" s="25" t="s">
        <v>393</v>
      </c>
      <c r="E56" s="30">
        <v>9648648568</v>
      </c>
      <c r="F56" s="25" t="s">
        <v>384</v>
      </c>
      <c r="G56" s="25" t="s">
        <v>394</v>
      </c>
      <c r="H56" s="25">
        <v>1505.5</v>
      </c>
      <c r="I56" s="25">
        <v>11</v>
      </c>
      <c r="J56" s="25">
        <v>3985.19</v>
      </c>
      <c r="K56" s="25" t="s">
        <v>421</v>
      </c>
      <c r="L56" s="25">
        <v>16560.5</v>
      </c>
      <c r="M56" s="26" t="s">
        <v>386</v>
      </c>
      <c r="N56" s="25">
        <v>24.06</v>
      </c>
    </row>
    <row r="57" spans="1:14">
      <c r="A57" s="25" t="s">
        <v>457</v>
      </c>
      <c r="B57" s="25" t="s">
        <v>381</v>
      </c>
      <c r="C57" s="25" t="s">
        <v>382</v>
      </c>
      <c r="D57" s="25" t="s">
        <v>423</v>
      </c>
      <c r="E57" s="30">
        <v>9416435713</v>
      </c>
      <c r="F57" s="25" t="s">
        <v>384</v>
      </c>
      <c r="G57" s="25" t="s">
        <v>278</v>
      </c>
      <c r="H57" s="25">
        <v>1477.49</v>
      </c>
      <c r="I57" s="25">
        <v>11</v>
      </c>
      <c r="J57" s="25">
        <v>2428.98</v>
      </c>
      <c r="K57" s="25" t="s">
        <v>266</v>
      </c>
      <c r="L57" s="25">
        <v>16252.39</v>
      </c>
      <c r="M57" s="26" t="s">
        <v>386</v>
      </c>
      <c r="N57" s="25">
        <v>14.95</v>
      </c>
    </row>
    <row r="58" spans="1:14">
      <c r="A58" s="25" t="s">
        <v>458</v>
      </c>
      <c r="B58" s="25" t="s">
        <v>403</v>
      </c>
      <c r="C58" s="25" t="s">
        <v>382</v>
      </c>
      <c r="D58" s="25" t="s">
        <v>412</v>
      </c>
      <c r="E58" s="30">
        <v>9211381294</v>
      </c>
      <c r="F58" s="25" t="s">
        <v>388</v>
      </c>
      <c r="G58" s="25" t="s">
        <v>406</v>
      </c>
      <c r="H58" s="25">
        <v>704.64</v>
      </c>
      <c r="I58" s="25">
        <v>2</v>
      </c>
      <c r="J58" s="25">
        <v>163.57</v>
      </c>
      <c r="K58" s="25" t="s">
        <v>281</v>
      </c>
      <c r="L58" s="25">
        <v>1409.28</v>
      </c>
      <c r="M58" s="26" t="s">
        <v>395</v>
      </c>
      <c r="N58" s="25">
        <v>11.61</v>
      </c>
    </row>
    <row r="59" spans="1:14">
      <c r="A59" s="25" t="s">
        <v>459</v>
      </c>
      <c r="B59" s="25" t="s">
        <v>415</v>
      </c>
      <c r="C59" s="25" t="s">
        <v>382</v>
      </c>
      <c r="D59" s="25" t="s">
        <v>393</v>
      </c>
      <c r="E59" s="30">
        <v>9791244114</v>
      </c>
      <c r="F59" s="25" t="s">
        <v>388</v>
      </c>
      <c r="G59" s="25" t="s">
        <v>436</v>
      </c>
      <c r="H59" s="25">
        <v>2030.2</v>
      </c>
      <c r="I59" s="25">
        <v>13</v>
      </c>
      <c r="J59" s="25">
        <v>3695.03</v>
      </c>
      <c r="K59" s="25" t="s">
        <v>390</v>
      </c>
      <c r="L59" s="25">
        <v>26392.6</v>
      </c>
      <c r="M59" s="26" t="s">
        <v>386</v>
      </c>
      <c r="N59" s="25">
        <v>14</v>
      </c>
    </row>
    <row r="60" spans="1:14">
      <c r="A60" s="25" t="s">
        <v>460</v>
      </c>
      <c r="B60" s="25" t="s">
        <v>381</v>
      </c>
      <c r="C60" s="25" t="s">
        <v>382</v>
      </c>
      <c r="D60" s="25" t="s">
        <v>412</v>
      </c>
      <c r="E60" s="30">
        <v>9194670146</v>
      </c>
      <c r="F60" s="25" t="s">
        <v>384</v>
      </c>
      <c r="G60" s="25" t="s">
        <v>385</v>
      </c>
      <c r="H60" s="25">
        <v>1822.28</v>
      </c>
      <c r="I60" s="25">
        <v>4</v>
      </c>
      <c r="J60" s="25">
        <v>1973.2</v>
      </c>
      <c r="K60" s="25" t="s">
        <v>398</v>
      </c>
      <c r="L60" s="25">
        <v>7289.12</v>
      </c>
      <c r="M60" s="26" t="s">
        <v>399</v>
      </c>
      <c r="N60" s="25">
        <v>27.07</v>
      </c>
    </row>
    <row r="61" spans="1:14">
      <c r="A61" s="25" t="s">
        <v>461</v>
      </c>
      <c r="B61" s="25" t="s">
        <v>415</v>
      </c>
      <c r="C61" s="25" t="s">
        <v>382</v>
      </c>
      <c r="D61" s="25" t="s">
        <v>408</v>
      </c>
      <c r="E61" s="30">
        <v>9519275644</v>
      </c>
      <c r="F61" s="25" t="s">
        <v>388</v>
      </c>
      <c r="G61" s="25" t="s">
        <v>397</v>
      </c>
      <c r="H61" s="25">
        <v>600.17999999999995</v>
      </c>
      <c r="I61" s="25">
        <v>11</v>
      </c>
      <c r="J61" s="25">
        <v>1525.57</v>
      </c>
      <c r="K61" s="25" t="s">
        <v>266</v>
      </c>
      <c r="L61" s="25">
        <v>6601.98</v>
      </c>
      <c r="M61" s="26" t="s">
        <v>399</v>
      </c>
      <c r="N61" s="25">
        <v>23.11</v>
      </c>
    </row>
    <row r="62" spans="1:14">
      <c r="A62" s="25" t="s">
        <v>462</v>
      </c>
      <c r="B62" s="25" t="s">
        <v>392</v>
      </c>
      <c r="C62" s="25" t="s">
        <v>382</v>
      </c>
      <c r="D62" s="25" t="s">
        <v>408</v>
      </c>
      <c r="E62" s="30">
        <v>9520013561</v>
      </c>
      <c r="F62" s="25" t="s">
        <v>384</v>
      </c>
      <c r="G62" s="25" t="s">
        <v>394</v>
      </c>
      <c r="H62" s="25">
        <v>2330.36</v>
      </c>
      <c r="I62" s="25">
        <v>7</v>
      </c>
      <c r="J62" s="25">
        <v>3532.26</v>
      </c>
      <c r="K62" s="25" t="s">
        <v>421</v>
      </c>
      <c r="L62" s="25">
        <v>16312.52</v>
      </c>
      <c r="M62" s="26" t="s">
        <v>386</v>
      </c>
      <c r="N62" s="25">
        <v>21.65</v>
      </c>
    </row>
    <row r="63" spans="1:14">
      <c r="A63" s="25" t="s">
        <v>463</v>
      </c>
      <c r="B63" s="25" t="s">
        <v>415</v>
      </c>
      <c r="C63" s="25" t="s">
        <v>382</v>
      </c>
      <c r="D63" s="25" t="s">
        <v>410</v>
      </c>
      <c r="E63" s="31">
        <v>95989895092</v>
      </c>
      <c r="F63" s="25" t="s">
        <v>264</v>
      </c>
      <c r="G63" s="25" t="s">
        <v>247</v>
      </c>
      <c r="H63" s="25">
        <v>1084.67</v>
      </c>
      <c r="I63" s="25">
        <v>13</v>
      </c>
      <c r="J63" s="25">
        <v>4140.1400000000003</v>
      </c>
      <c r="K63" s="25" t="s">
        <v>398</v>
      </c>
      <c r="L63" s="25">
        <v>14100.71</v>
      </c>
      <c r="M63" s="26" t="s">
        <v>386</v>
      </c>
      <c r="N63" s="25">
        <v>29.36</v>
      </c>
    </row>
    <row r="64" spans="1:14">
      <c r="A64" s="25" t="s">
        <v>464</v>
      </c>
      <c r="B64" s="25" t="s">
        <v>403</v>
      </c>
      <c r="C64" s="25" t="s">
        <v>382</v>
      </c>
      <c r="D64" s="25" t="s">
        <v>423</v>
      </c>
      <c r="E64" s="30">
        <v>9499862542</v>
      </c>
      <c r="F64" s="25" t="s">
        <v>388</v>
      </c>
      <c r="G64" s="25" t="s">
        <v>436</v>
      </c>
      <c r="H64" s="25">
        <v>1893.55</v>
      </c>
      <c r="I64" s="25">
        <v>12</v>
      </c>
      <c r="J64" s="25">
        <v>3204.64</v>
      </c>
      <c r="K64" s="25" t="s">
        <v>390</v>
      </c>
      <c r="L64" s="25">
        <v>22722.6</v>
      </c>
      <c r="M64" s="26" t="s">
        <v>386</v>
      </c>
      <c r="N64" s="25">
        <v>14.1</v>
      </c>
    </row>
    <row r="65" spans="1:14">
      <c r="A65" s="25" t="s">
        <v>465</v>
      </c>
      <c r="B65" s="25" t="s">
        <v>415</v>
      </c>
      <c r="C65" s="25" t="s">
        <v>382</v>
      </c>
      <c r="D65" s="25" t="s">
        <v>410</v>
      </c>
      <c r="E65" s="30">
        <v>9724136290</v>
      </c>
      <c r="F65" s="25" t="s">
        <v>388</v>
      </c>
      <c r="G65" s="25" t="s">
        <v>406</v>
      </c>
      <c r="H65" s="25">
        <v>1747.22</v>
      </c>
      <c r="I65" s="25">
        <v>6</v>
      </c>
      <c r="J65" s="25">
        <v>2678.22</v>
      </c>
      <c r="K65" s="25" t="s">
        <v>398</v>
      </c>
      <c r="L65" s="25">
        <v>10483.32</v>
      </c>
      <c r="M65" s="26" t="s">
        <v>386</v>
      </c>
      <c r="N65" s="25">
        <v>25.55</v>
      </c>
    </row>
    <row r="66" spans="1:14">
      <c r="A66" s="25" t="s">
        <v>466</v>
      </c>
      <c r="B66" s="25" t="s">
        <v>403</v>
      </c>
      <c r="C66" s="25" t="s">
        <v>382</v>
      </c>
      <c r="D66" s="25" t="s">
        <v>410</v>
      </c>
      <c r="E66" s="30">
        <v>9321909198</v>
      </c>
      <c r="F66" s="25" t="s">
        <v>388</v>
      </c>
      <c r="G66" s="25" t="s">
        <v>323</v>
      </c>
      <c r="H66" s="25">
        <v>287.31</v>
      </c>
      <c r="I66" s="25">
        <v>8</v>
      </c>
      <c r="J66" s="25">
        <v>381.56</v>
      </c>
      <c r="K66" s="25" t="s">
        <v>421</v>
      </c>
      <c r="L66" s="25">
        <v>2298.48</v>
      </c>
      <c r="M66" s="26" t="s">
        <v>395</v>
      </c>
      <c r="N66" s="25">
        <v>16.600000000000001</v>
      </c>
    </row>
    <row r="67" spans="1:14">
      <c r="A67" s="25" t="s">
        <v>467</v>
      </c>
      <c r="B67" s="25" t="s">
        <v>415</v>
      </c>
      <c r="C67" s="25" t="s">
        <v>382</v>
      </c>
      <c r="D67" s="25" t="s">
        <v>408</v>
      </c>
      <c r="E67" s="30">
        <v>9760693305</v>
      </c>
      <c r="F67" s="25" t="s">
        <v>384</v>
      </c>
      <c r="G67" s="25" t="s">
        <v>385</v>
      </c>
      <c r="H67" s="25">
        <v>1700.05</v>
      </c>
      <c r="I67" s="25">
        <v>2</v>
      </c>
      <c r="J67" s="25">
        <v>383.92</v>
      </c>
      <c r="K67" s="25" t="s">
        <v>281</v>
      </c>
      <c r="L67" s="25">
        <v>3400.1</v>
      </c>
      <c r="M67" s="26" t="s">
        <v>395</v>
      </c>
      <c r="N67" s="25">
        <v>11.29</v>
      </c>
    </row>
    <row r="68" spans="1:14">
      <c r="A68" s="25" t="s">
        <v>468</v>
      </c>
      <c r="B68" s="25" t="s">
        <v>403</v>
      </c>
      <c r="C68" s="25" t="s">
        <v>382</v>
      </c>
      <c r="D68" s="25" t="s">
        <v>410</v>
      </c>
      <c r="E68" s="30">
        <v>9658575570</v>
      </c>
      <c r="F68" s="25" t="s">
        <v>388</v>
      </c>
      <c r="G68" s="25" t="s">
        <v>323</v>
      </c>
      <c r="H68" s="25">
        <v>1180.31</v>
      </c>
      <c r="I68" s="25">
        <v>7</v>
      </c>
      <c r="J68" s="25">
        <v>847.73</v>
      </c>
      <c r="K68" s="25" t="s">
        <v>281</v>
      </c>
      <c r="L68" s="25">
        <v>8262.17</v>
      </c>
      <c r="M68" s="26" t="s">
        <v>399</v>
      </c>
      <c r="N68" s="25">
        <v>10.26</v>
      </c>
    </row>
    <row r="69" spans="1:14">
      <c r="A69" s="25" t="s">
        <v>469</v>
      </c>
      <c r="B69" s="25" t="s">
        <v>392</v>
      </c>
      <c r="C69" s="25" t="s">
        <v>382</v>
      </c>
      <c r="D69" s="25" t="s">
        <v>410</v>
      </c>
      <c r="E69" s="30">
        <v>9950273824</v>
      </c>
      <c r="F69" s="25" t="s">
        <v>388</v>
      </c>
      <c r="G69" s="25" t="s">
        <v>436</v>
      </c>
      <c r="H69" s="25">
        <v>653.35</v>
      </c>
      <c r="I69" s="25">
        <v>4</v>
      </c>
      <c r="J69" s="25">
        <v>345.46</v>
      </c>
      <c r="K69" s="25" t="s">
        <v>266</v>
      </c>
      <c r="L69" s="25">
        <v>2613.4</v>
      </c>
      <c r="M69" s="26" t="s">
        <v>395</v>
      </c>
      <c r="N69" s="25">
        <v>13.22</v>
      </c>
    </row>
    <row r="70" spans="1:14">
      <c r="A70" s="25" t="s">
        <v>470</v>
      </c>
      <c r="B70" s="25" t="s">
        <v>392</v>
      </c>
      <c r="C70" s="25" t="s">
        <v>382</v>
      </c>
      <c r="D70" s="25" t="s">
        <v>404</v>
      </c>
      <c r="E70" s="30">
        <v>9898816813</v>
      </c>
      <c r="F70" s="25" t="s">
        <v>264</v>
      </c>
      <c r="G70" s="25" t="s">
        <v>233</v>
      </c>
      <c r="H70" s="25">
        <v>1881.74</v>
      </c>
      <c r="I70" s="25">
        <v>4</v>
      </c>
      <c r="J70" s="25">
        <v>1363.83</v>
      </c>
      <c r="K70" s="25" t="s">
        <v>421</v>
      </c>
      <c r="L70" s="25">
        <v>7526.96</v>
      </c>
      <c r="M70" s="26" t="s">
        <v>399</v>
      </c>
      <c r="N70" s="25">
        <v>18.12</v>
      </c>
    </row>
    <row r="71" spans="1:14">
      <c r="A71" s="25" t="s">
        <v>471</v>
      </c>
      <c r="B71" s="25" t="s">
        <v>415</v>
      </c>
      <c r="C71" s="25" t="s">
        <v>382</v>
      </c>
      <c r="D71" s="25" t="s">
        <v>412</v>
      </c>
      <c r="E71" s="30">
        <v>9571594565</v>
      </c>
      <c r="F71" s="25" t="s">
        <v>388</v>
      </c>
      <c r="G71" s="25" t="s">
        <v>389</v>
      </c>
      <c r="H71" s="25">
        <v>1206.3499999999999</v>
      </c>
      <c r="I71" s="25">
        <v>15</v>
      </c>
      <c r="J71" s="25">
        <v>2801.82</v>
      </c>
      <c r="K71" s="25" t="s">
        <v>281</v>
      </c>
      <c r="L71" s="25">
        <v>18095.25</v>
      </c>
      <c r="M71" s="26" t="s">
        <v>386</v>
      </c>
      <c r="N71" s="25">
        <v>15.48</v>
      </c>
    </row>
    <row r="72" spans="1:14">
      <c r="A72" s="25" t="s">
        <v>472</v>
      </c>
      <c r="B72" s="25" t="s">
        <v>392</v>
      </c>
      <c r="C72" s="25" t="s">
        <v>382</v>
      </c>
      <c r="D72" s="25" t="s">
        <v>408</v>
      </c>
      <c r="E72" s="30">
        <v>9684352160</v>
      </c>
      <c r="F72" s="25" t="s">
        <v>384</v>
      </c>
      <c r="G72" s="25" t="s">
        <v>420</v>
      </c>
      <c r="H72" s="25">
        <v>1849.95</v>
      </c>
      <c r="I72" s="25">
        <v>5</v>
      </c>
      <c r="J72" s="25">
        <v>2111.02</v>
      </c>
      <c r="K72" s="25" t="s">
        <v>421</v>
      </c>
      <c r="L72" s="25">
        <v>9249.75</v>
      </c>
      <c r="M72" s="26" t="s">
        <v>399</v>
      </c>
      <c r="N72" s="25">
        <v>22.82</v>
      </c>
    </row>
    <row r="73" spans="1:14">
      <c r="A73" s="25" t="s">
        <v>473</v>
      </c>
      <c r="B73" s="25" t="s">
        <v>381</v>
      </c>
      <c r="C73" s="25" t="s">
        <v>382</v>
      </c>
      <c r="D73" s="25" t="s">
        <v>393</v>
      </c>
      <c r="E73" s="30">
        <v>9845713875</v>
      </c>
      <c r="F73" s="25" t="s">
        <v>264</v>
      </c>
      <c r="G73" s="25" t="s">
        <v>319</v>
      </c>
      <c r="H73" s="25">
        <v>1896.1</v>
      </c>
      <c r="I73" s="25">
        <v>5</v>
      </c>
      <c r="J73" s="25">
        <v>2676.46</v>
      </c>
      <c r="K73" s="25" t="s">
        <v>421</v>
      </c>
      <c r="L73" s="25">
        <v>9480.5</v>
      </c>
      <c r="M73" s="26" t="s">
        <v>399</v>
      </c>
      <c r="N73" s="25">
        <v>28.23</v>
      </c>
    </row>
    <row r="74" spans="1:14">
      <c r="A74" s="25" t="s">
        <v>474</v>
      </c>
      <c r="B74" s="25" t="s">
        <v>392</v>
      </c>
      <c r="C74" s="25" t="s">
        <v>382</v>
      </c>
      <c r="D74" s="25" t="s">
        <v>404</v>
      </c>
      <c r="E74" s="31">
        <v>85</v>
      </c>
      <c r="F74" s="25" t="s">
        <v>388</v>
      </c>
      <c r="G74" s="25" t="s">
        <v>323</v>
      </c>
      <c r="H74" s="25">
        <v>1799.6</v>
      </c>
      <c r="I74" s="25">
        <v>6</v>
      </c>
      <c r="J74" s="25">
        <v>1551.79</v>
      </c>
      <c r="K74" s="25" t="s">
        <v>398</v>
      </c>
      <c r="L74" s="25">
        <v>10797.6</v>
      </c>
      <c r="M74" s="26" t="s">
        <v>386</v>
      </c>
      <c r="N74" s="25">
        <v>14.37</v>
      </c>
    </row>
    <row r="75" spans="1:14">
      <c r="A75" s="25" t="s">
        <v>475</v>
      </c>
      <c r="B75" s="25" t="s">
        <v>415</v>
      </c>
      <c r="C75" s="25" t="s">
        <v>382</v>
      </c>
      <c r="D75" s="25" t="s">
        <v>383</v>
      </c>
      <c r="E75" s="30">
        <v>9304184751</v>
      </c>
      <c r="F75" s="25" t="s">
        <v>388</v>
      </c>
      <c r="G75" s="25" t="s">
        <v>436</v>
      </c>
      <c r="H75" s="25">
        <v>1330.26</v>
      </c>
      <c r="I75" s="25">
        <v>2</v>
      </c>
      <c r="J75" s="25">
        <v>669.54</v>
      </c>
      <c r="K75" s="25" t="s">
        <v>266</v>
      </c>
      <c r="L75" s="25">
        <v>2660.52</v>
      </c>
      <c r="M75" s="26" t="s">
        <v>395</v>
      </c>
      <c r="N75" s="25">
        <v>25.17</v>
      </c>
    </row>
    <row r="76" spans="1:14">
      <c r="A76" s="25" t="s">
        <v>476</v>
      </c>
      <c r="B76" s="25" t="s">
        <v>415</v>
      </c>
      <c r="C76" s="25" t="s">
        <v>382</v>
      </c>
      <c r="D76" s="25" t="s">
        <v>412</v>
      </c>
      <c r="E76" s="30">
        <v>9141039856</v>
      </c>
      <c r="F76" s="25" t="s">
        <v>264</v>
      </c>
      <c r="G76" s="25" t="s">
        <v>287</v>
      </c>
      <c r="H76" s="25">
        <v>322.57</v>
      </c>
      <c r="I76" s="25">
        <v>13</v>
      </c>
      <c r="J76" s="25">
        <v>684.45</v>
      </c>
      <c r="K76" s="25" t="s">
        <v>421</v>
      </c>
      <c r="L76" s="25">
        <v>4193.41</v>
      </c>
      <c r="M76" s="26" t="s">
        <v>395</v>
      </c>
      <c r="N76" s="25">
        <v>16.32</v>
      </c>
    </row>
    <row r="77" spans="1:14">
      <c r="A77" s="25" t="s">
        <v>477</v>
      </c>
      <c r="B77" s="25" t="s">
        <v>403</v>
      </c>
      <c r="C77" s="25" t="s">
        <v>382</v>
      </c>
      <c r="D77" s="25" t="s">
        <v>404</v>
      </c>
      <c r="E77" s="30">
        <v>9640589740</v>
      </c>
      <c r="F77" s="25" t="s">
        <v>264</v>
      </c>
      <c r="G77" s="25" t="s">
        <v>319</v>
      </c>
      <c r="H77" s="25">
        <v>1510.41</v>
      </c>
      <c r="I77" s="25">
        <v>1</v>
      </c>
      <c r="J77" s="25">
        <v>434.79</v>
      </c>
      <c r="K77" s="25" t="s">
        <v>390</v>
      </c>
      <c r="L77" s="25">
        <v>1510.41</v>
      </c>
      <c r="M77" s="26" t="s">
        <v>395</v>
      </c>
      <c r="N77" s="25">
        <v>28.79</v>
      </c>
    </row>
    <row r="78" spans="1:14">
      <c r="A78" s="25" t="s">
        <v>478</v>
      </c>
      <c r="B78" s="25" t="s">
        <v>392</v>
      </c>
      <c r="C78" s="25" t="s">
        <v>382</v>
      </c>
      <c r="D78" s="25" t="s">
        <v>383</v>
      </c>
      <c r="E78" s="30">
        <v>9406517796</v>
      </c>
      <c r="F78" s="25" t="s">
        <v>384</v>
      </c>
      <c r="G78" s="25" t="s">
        <v>285</v>
      </c>
      <c r="H78" s="25">
        <v>1085.52</v>
      </c>
      <c r="I78" s="25">
        <v>4</v>
      </c>
      <c r="J78" s="25">
        <v>749.57</v>
      </c>
      <c r="K78" s="25" t="s">
        <v>266</v>
      </c>
      <c r="L78" s="25">
        <v>4342.08</v>
      </c>
      <c r="M78" s="26" t="s">
        <v>395</v>
      </c>
      <c r="N78" s="25">
        <v>17.260000000000002</v>
      </c>
    </row>
    <row r="79" spans="1:14">
      <c r="A79" s="25" t="s">
        <v>479</v>
      </c>
      <c r="B79" s="25" t="s">
        <v>392</v>
      </c>
      <c r="C79" s="25" t="s">
        <v>382</v>
      </c>
      <c r="D79" s="25" t="s">
        <v>408</v>
      </c>
      <c r="E79" s="30">
        <v>9606169051</v>
      </c>
      <c r="F79" s="25" t="s">
        <v>388</v>
      </c>
      <c r="G79" s="25" t="s">
        <v>389</v>
      </c>
      <c r="H79" s="25">
        <v>1441.79</v>
      </c>
      <c r="I79" s="25">
        <v>14</v>
      </c>
      <c r="J79" s="25">
        <v>3929.03</v>
      </c>
      <c r="K79" s="25" t="s">
        <v>421</v>
      </c>
      <c r="L79" s="25">
        <v>20185.060000000001</v>
      </c>
      <c r="M79" s="26" t="s">
        <v>386</v>
      </c>
      <c r="N79" s="25">
        <v>19.47</v>
      </c>
    </row>
    <row r="80" spans="1:14">
      <c r="A80" s="25" t="s">
        <v>480</v>
      </c>
      <c r="B80" s="25" t="s">
        <v>415</v>
      </c>
      <c r="C80" s="25" t="s">
        <v>382</v>
      </c>
      <c r="D80" s="25" t="s">
        <v>412</v>
      </c>
      <c r="E80" s="30">
        <v>9350461925</v>
      </c>
      <c r="F80" s="25" t="s">
        <v>388</v>
      </c>
      <c r="G80" s="25" t="s">
        <v>436</v>
      </c>
      <c r="H80" s="25">
        <v>686.64</v>
      </c>
      <c r="I80" s="25">
        <v>8</v>
      </c>
      <c r="J80" s="25">
        <v>878.07</v>
      </c>
      <c r="K80" s="25" t="s">
        <v>266</v>
      </c>
      <c r="L80" s="25">
        <v>5493.12</v>
      </c>
      <c r="M80" s="26" t="s">
        <v>399</v>
      </c>
      <c r="N80" s="25">
        <v>15.98</v>
      </c>
    </row>
    <row r="81" spans="1:14">
      <c r="A81" s="25" t="s">
        <v>481</v>
      </c>
      <c r="B81" s="25" t="s">
        <v>381</v>
      </c>
      <c r="C81" s="25" t="s">
        <v>382</v>
      </c>
      <c r="D81" s="25" t="s">
        <v>393</v>
      </c>
      <c r="E81" s="30">
        <v>9996467468</v>
      </c>
      <c r="F81" s="25" t="s">
        <v>384</v>
      </c>
      <c r="G81" s="25" t="s">
        <v>285</v>
      </c>
      <c r="H81" s="25">
        <v>2830.64</v>
      </c>
      <c r="I81" s="25">
        <v>6</v>
      </c>
      <c r="J81" s="25">
        <v>1830.75</v>
      </c>
      <c r="K81" s="25" t="s">
        <v>266</v>
      </c>
      <c r="L81" s="25">
        <v>16983.84</v>
      </c>
      <c r="M81" s="26" t="s">
        <v>386</v>
      </c>
      <c r="N81" s="25">
        <v>10.78</v>
      </c>
    </row>
    <row r="82" spans="1:14">
      <c r="A82" s="25" t="s">
        <v>482</v>
      </c>
      <c r="B82" s="25" t="s">
        <v>381</v>
      </c>
      <c r="C82" s="25" t="s">
        <v>382</v>
      </c>
      <c r="D82" s="25" t="s">
        <v>412</v>
      </c>
      <c r="E82" s="30">
        <v>9128345710</v>
      </c>
      <c r="F82" s="25" t="s">
        <v>264</v>
      </c>
      <c r="G82" s="25" t="s">
        <v>247</v>
      </c>
      <c r="H82" s="25">
        <v>2619.08</v>
      </c>
      <c r="I82" s="25">
        <v>6</v>
      </c>
      <c r="J82" s="25">
        <v>4245.2299999999996</v>
      </c>
      <c r="K82" s="25" t="s">
        <v>390</v>
      </c>
      <c r="L82" s="25">
        <v>15714.48</v>
      </c>
      <c r="M82" s="26" t="s">
        <v>386</v>
      </c>
      <c r="N82" s="25">
        <v>27.01</v>
      </c>
    </row>
    <row r="83" spans="1:14">
      <c r="A83" s="25" t="s">
        <v>483</v>
      </c>
      <c r="B83" s="25" t="s">
        <v>403</v>
      </c>
      <c r="C83" s="25" t="s">
        <v>382</v>
      </c>
      <c r="D83" s="25" t="s">
        <v>410</v>
      </c>
      <c r="E83" s="30">
        <v>9392055351</v>
      </c>
      <c r="F83" s="25" t="s">
        <v>384</v>
      </c>
      <c r="G83" s="25" t="s">
        <v>278</v>
      </c>
      <c r="H83" s="25">
        <v>503.93</v>
      </c>
      <c r="I83" s="25">
        <v>11</v>
      </c>
      <c r="J83" s="25">
        <v>1183.48</v>
      </c>
      <c r="K83" s="25" t="s">
        <v>398</v>
      </c>
      <c r="L83" s="25">
        <v>5543.23</v>
      </c>
      <c r="M83" s="26" t="s">
        <v>399</v>
      </c>
      <c r="N83" s="25">
        <v>21.35</v>
      </c>
    </row>
    <row r="84" spans="1:14">
      <c r="A84" s="25" t="s">
        <v>484</v>
      </c>
      <c r="B84" s="25" t="s">
        <v>392</v>
      </c>
      <c r="C84" s="25" t="s">
        <v>382</v>
      </c>
      <c r="D84" s="25" t="s">
        <v>404</v>
      </c>
      <c r="E84" s="30">
        <v>9980141994</v>
      </c>
      <c r="F84" s="25" t="s">
        <v>388</v>
      </c>
      <c r="G84" s="25" t="s">
        <v>323</v>
      </c>
      <c r="H84" s="25">
        <v>467.71</v>
      </c>
      <c r="I84" s="25">
        <v>12</v>
      </c>
      <c r="J84" s="25">
        <v>1223.23</v>
      </c>
      <c r="K84" s="25" t="s">
        <v>266</v>
      </c>
      <c r="L84" s="25">
        <v>5612.52</v>
      </c>
      <c r="M84" s="26" t="s">
        <v>399</v>
      </c>
      <c r="N84" s="25">
        <v>21.79</v>
      </c>
    </row>
    <row r="85" spans="1:14">
      <c r="A85" s="25" t="s">
        <v>485</v>
      </c>
      <c r="B85" s="25" t="s">
        <v>381</v>
      </c>
      <c r="C85" s="25" t="s">
        <v>382</v>
      </c>
      <c r="D85" s="25" t="s">
        <v>408</v>
      </c>
      <c r="E85" s="30">
        <v>9403999543</v>
      </c>
      <c r="F85" s="25" t="s">
        <v>388</v>
      </c>
      <c r="G85" s="25" t="s">
        <v>406</v>
      </c>
      <c r="H85" s="25">
        <v>2307.34</v>
      </c>
      <c r="I85" s="25">
        <v>14</v>
      </c>
      <c r="J85" s="25">
        <v>3571.15</v>
      </c>
      <c r="K85" s="25" t="s">
        <v>421</v>
      </c>
      <c r="L85" s="25">
        <v>32302.76</v>
      </c>
      <c r="M85" s="26" t="s">
        <v>386</v>
      </c>
      <c r="N85" s="25">
        <v>11.06</v>
      </c>
    </row>
    <row r="86" spans="1:14">
      <c r="A86" s="25" t="s">
        <v>486</v>
      </c>
      <c r="B86" s="25" t="s">
        <v>415</v>
      </c>
      <c r="C86" s="25" t="s">
        <v>382</v>
      </c>
      <c r="D86" s="25" t="s">
        <v>423</v>
      </c>
      <c r="E86" s="30">
        <v>9164427200</v>
      </c>
      <c r="F86" s="25" t="s">
        <v>264</v>
      </c>
      <c r="G86" s="25" t="s">
        <v>319</v>
      </c>
      <c r="H86" s="25">
        <v>1513.57</v>
      </c>
      <c r="I86" s="25">
        <v>14</v>
      </c>
      <c r="J86" s="27">
        <v>5761.18</v>
      </c>
      <c r="K86" s="25" t="s">
        <v>266</v>
      </c>
      <c r="L86" s="25">
        <v>21189.98</v>
      </c>
      <c r="M86" s="26" t="s">
        <v>386</v>
      </c>
      <c r="N86" s="25">
        <v>27.19</v>
      </c>
    </row>
    <row r="87" spans="1:14">
      <c r="A87" s="25" t="s">
        <v>487</v>
      </c>
      <c r="B87" s="25" t="s">
        <v>415</v>
      </c>
      <c r="C87" s="25" t="s">
        <v>382</v>
      </c>
      <c r="D87" s="25" t="s">
        <v>408</v>
      </c>
      <c r="E87" s="31">
        <v>858947</v>
      </c>
      <c r="F87" s="25" t="s">
        <v>388</v>
      </c>
      <c r="G87" s="25" t="s">
        <v>436</v>
      </c>
      <c r="H87" s="25">
        <v>2213.4499999999998</v>
      </c>
      <c r="I87" s="25">
        <v>3</v>
      </c>
      <c r="J87" s="25">
        <v>867.33</v>
      </c>
      <c r="K87" s="25" t="s">
        <v>421</v>
      </c>
      <c r="L87" s="25">
        <v>6640.35</v>
      </c>
      <c r="M87" s="26" t="s">
        <v>399</v>
      </c>
      <c r="N87" s="25">
        <v>13.06</v>
      </c>
    </row>
    <row r="88" spans="1:14">
      <c r="A88" s="25" t="s">
        <v>488</v>
      </c>
      <c r="B88" s="25" t="s">
        <v>392</v>
      </c>
      <c r="C88" s="25" t="s">
        <v>382</v>
      </c>
      <c r="D88" s="25" t="s">
        <v>404</v>
      </c>
      <c r="E88" s="30">
        <v>9789825611</v>
      </c>
      <c r="F88" s="25" t="s">
        <v>384</v>
      </c>
      <c r="G88" s="25" t="s">
        <v>285</v>
      </c>
      <c r="H88" s="25">
        <v>384.21</v>
      </c>
      <c r="I88" s="25">
        <v>5</v>
      </c>
      <c r="J88" s="25">
        <v>354.16</v>
      </c>
      <c r="K88" s="25" t="s">
        <v>421</v>
      </c>
      <c r="L88" s="25">
        <v>1921.05</v>
      </c>
      <c r="M88" s="26" t="s">
        <v>395</v>
      </c>
      <c r="N88" s="25">
        <v>18.440000000000001</v>
      </c>
    </row>
    <row r="89" spans="1:14">
      <c r="A89" s="25" t="s">
        <v>489</v>
      </c>
      <c r="B89" s="25" t="s">
        <v>403</v>
      </c>
      <c r="C89" s="25" t="s">
        <v>382</v>
      </c>
      <c r="D89" s="25" t="s">
        <v>408</v>
      </c>
      <c r="E89" s="30">
        <v>9371462183</v>
      </c>
      <c r="F89" s="25" t="s">
        <v>264</v>
      </c>
      <c r="G89" s="25" t="s">
        <v>247</v>
      </c>
      <c r="H89" s="25">
        <v>498.41</v>
      </c>
      <c r="I89" s="25">
        <v>7</v>
      </c>
      <c r="J89" s="25">
        <v>435.36</v>
      </c>
      <c r="K89" s="25" t="s">
        <v>281</v>
      </c>
      <c r="L89" s="25">
        <v>3488.87</v>
      </c>
      <c r="M89" s="26" t="s">
        <v>395</v>
      </c>
      <c r="N89" s="25">
        <v>12.48</v>
      </c>
    </row>
    <row r="90" spans="1:14">
      <c r="A90" s="25" t="s">
        <v>490</v>
      </c>
      <c r="B90" s="25" t="s">
        <v>415</v>
      </c>
      <c r="C90" s="25" t="s">
        <v>382</v>
      </c>
      <c r="D90" s="25" t="s">
        <v>408</v>
      </c>
      <c r="E90" s="30">
        <v>9444893207</v>
      </c>
      <c r="F90" s="25" t="s">
        <v>384</v>
      </c>
      <c r="G90" s="25" t="s">
        <v>285</v>
      </c>
      <c r="H90" s="25">
        <v>1599.24</v>
      </c>
      <c r="I90" s="25">
        <v>10</v>
      </c>
      <c r="J90" s="25">
        <v>4368.75</v>
      </c>
      <c r="K90" s="25" t="s">
        <v>281</v>
      </c>
      <c r="L90" s="25">
        <v>15992.4</v>
      </c>
      <c r="M90" s="26" t="s">
        <v>386</v>
      </c>
      <c r="N90" s="25">
        <v>27.32</v>
      </c>
    </row>
    <row r="91" spans="1:14">
      <c r="A91" s="25" t="s">
        <v>491</v>
      </c>
      <c r="B91" s="25" t="s">
        <v>381</v>
      </c>
      <c r="C91" s="25" t="s">
        <v>382</v>
      </c>
      <c r="D91" s="25" t="s">
        <v>412</v>
      </c>
      <c r="E91" s="30">
        <v>9339358166</v>
      </c>
      <c r="F91" s="25" t="s">
        <v>388</v>
      </c>
      <c r="G91" s="25" t="s">
        <v>397</v>
      </c>
      <c r="H91" s="25">
        <v>962.07</v>
      </c>
      <c r="I91" s="25">
        <v>9</v>
      </c>
      <c r="J91" s="25">
        <v>905.89</v>
      </c>
      <c r="K91" s="25" t="s">
        <v>281</v>
      </c>
      <c r="L91" s="25">
        <v>8658.6299999999992</v>
      </c>
      <c r="M91" s="26" t="s">
        <v>399</v>
      </c>
      <c r="N91" s="25">
        <v>10.46</v>
      </c>
    </row>
    <row r="92" spans="1:14">
      <c r="A92" s="25" t="s">
        <v>492</v>
      </c>
      <c r="B92" s="25" t="s">
        <v>381</v>
      </c>
      <c r="C92" s="25" t="s">
        <v>382</v>
      </c>
      <c r="D92" s="25" t="s">
        <v>393</v>
      </c>
      <c r="E92" s="30">
        <v>9119201960</v>
      </c>
      <c r="F92" s="25" t="s">
        <v>388</v>
      </c>
      <c r="G92" s="25" t="s">
        <v>323</v>
      </c>
      <c r="H92" s="25">
        <v>1673.22</v>
      </c>
      <c r="I92" s="25">
        <v>7</v>
      </c>
      <c r="J92" s="25">
        <v>1935.04</v>
      </c>
      <c r="K92" s="25" t="s">
        <v>421</v>
      </c>
      <c r="L92" s="25">
        <v>11712.54</v>
      </c>
      <c r="M92" s="26" t="s">
        <v>386</v>
      </c>
      <c r="N92" s="25">
        <v>16.52</v>
      </c>
    </row>
    <row r="93" spans="1:14">
      <c r="A93" s="25" t="s">
        <v>493</v>
      </c>
      <c r="B93" s="25" t="s">
        <v>381</v>
      </c>
      <c r="C93" s="25" t="s">
        <v>382</v>
      </c>
      <c r="D93" s="25" t="s">
        <v>404</v>
      </c>
      <c r="E93" s="30">
        <v>9161700373</v>
      </c>
      <c r="F93" s="25" t="s">
        <v>384</v>
      </c>
      <c r="G93" s="25" t="s">
        <v>394</v>
      </c>
      <c r="H93" s="25">
        <v>791.24</v>
      </c>
      <c r="I93" s="25">
        <v>4</v>
      </c>
      <c r="J93" s="25">
        <v>366.17</v>
      </c>
      <c r="K93" s="25" t="s">
        <v>281</v>
      </c>
      <c r="L93" s="25">
        <v>3164.96</v>
      </c>
      <c r="M93" s="26" t="s">
        <v>395</v>
      </c>
      <c r="N93" s="25">
        <v>11.57</v>
      </c>
    </row>
    <row r="94" spans="1:14">
      <c r="A94" s="25" t="s">
        <v>494</v>
      </c>
      <c r="B94" s="25" t="s">
        <v>392</v>
      </c>
      <c r="C94" s="25" t="s">
        <v>382</v>
      </c>
      <c r="D94" s="25" t="s">
        <v>423</v>
      </c>
      <c r="E94" s="30">
        <v>9242580997</v>
      </c>
      <c r="F94" s="25" t="s">
        <v>384</v>
      </c>
      <c r="G94" s="25" t="s">
        <v>278</v>
      </c>
      <c r="H94" s="25">
        <v>1210.8599999999999</v>
      </c>
      <c r="I94" s="25">
        <v>3</v>
      </c>
      <c r="J94" s="25">
        <v>698.75</v>
      </c>
      <c r="K94" s="25" t="s">
        <v>281</v>
      </c>
      <c r="L94" s="25">
        <v>3632.58</v>
      </c>
      <c r="M94" s="26" t="s">
        <v>395</v>
      </c>
      <c r="N94" s="25">
        <v>19.239999999999998</v>
      </c>
    </row>
    <row r="95" spans="1:14">
      <c r="A95" s="25" t="s">
        <v>495</v>
      </c>
      <c r="B95" s="25" t="s">
        <v>415</v>
      </c>
      <c r="C95" s="25" t="s">
        <v>382</v>
      </c>
      <c r="D95" s="25" t="s">
        <v>410</v>
      </c>
      <c r="E95" s="30">
        <v>9370714466</v>
      </c>
      <c r="F95" s="25" t="s">
        <v>384</v>
      </c>
      <c r="G95" s="25" t="s">
        <v>394</v>
      </c>
      <c r="H95" s="25">
        <v>619.57000000000005</v>
      </c>
      <c r="I95" s="25">
        <v>7</v>
      </c>
      <c r="J95" s="25">
        <v>562.75</v>
      </c>
      <c r="K95" s="25" t="s">
        <v>281</v>
      </c>
      <c r="L95" s="25">
        <v>4336.99</v>
      </c>
      <c r="M95" s="26" t="s">
        <v>395</v>
      </c>
      <c r="N95" s="25">
        <v>12.98</v>
      </c>
    </row>
    <row r="96" spans="1:14">
      <c r="A96" s="25" t="s">
        <v>496</v>
      </c>
      <c r="B96" s="25" t="s">
        <v>381</v>
      </c>
      <c r="C96" s="25" t="s">
        <v>382</v>
      </c>
      <c r="D96" s="25" t="s">
        <v>408</v>
      </c>
      <c r="E96" s="30">
        <v>9427647839</v>
      </c>
      <c r="F96" s="25" t="s">
        <v>264</v>
      </c>
      <c r="G96" s="25" t="s">
        <v>239</v>
      </c>
      <c r="H96" s="25">
        <v>308.5</v>
      </c>
      <c r="I96" s="25">
        <v>15</v>
      </c>
      <c r="J96" s="25">
        <v>802.96</v>
      </c>
      <c r="K96" s="25" t="s">
        <v>266</v>
      </c>
      <c r="L96" s="25">
        <v>4627.5</v>
      </c>
      <c r="M96" s="26" t="s">
        <v>395</v>
      </c>
      <c r="N96" s="25">
        <v>17.350000000000001</v>
      </c>
    </row>
    <row r="97" spans="1:14">
      <c r="A97" s="25" t="s">
        <v>497</v>
      </c>
      <c r="B97" s="25" t="s">
        <v>403</v>
      </c>
      <c r="C97" s="25" t="s">
        <v>382</v>
      </c>
      <c r="D97" s="25" t="s">
        <v>408</v>
      </c>
      <c r="E97" s="30">
        <v>9942075195</v>
      </c>
      <c r="F97" s="25" t="s">
        <v>384</v>
      </c>
      <c r="G97" s="25" t="s">
        <v>285</v>
      </c>
      <c r="H97" s="25">
        <v>1853.37</v>
      </c>
      <c r="I97" s="25">
        <v>5</v>
      </c>
      <c r="J97" s="25">
        <v>1661.2</v>
      </c>
      <c r="K97" s="25" t="s">
        <v>266</v>
      </c>
      <c r="L97" s="25">
        <v>9266.85</v>
      </c>
      <c r="M97" s="26" t="s">
        <v>399</v>
      </c>
      <c r="N97" s="25">
        <v>17.93</v>
      </c>
    </row>
    <row r="98" spans="1:14">
      <c r="A98" s="25" t="s">
        <v>498</v>
      </c>
      <c r="B98" s="25" t="s">
        <v>392</v>
      </c>
      <c r="C98" s="25" t="s">
        <v>382</v>
      </c>
      <c r="D98" s="25" t="s">
        <v>412</v>
      </c>
      <c r="E98" s="30">
        <v>9857569233</v>
      </c>
      <c r="F98" s="25" t="s">
        <v>384</v>
      </c>
      <c r="G98" s="25" t="s">
        <v>420</v>
      </c>
      <c r="H98" s="25">
        <v>2501.48</v>
      </c>
      <c r="I98" s="25">
        <v>6</v>
      </c>
      <c r="J98" s="25">
        <v>4142.5200000000004</v>
      </c>
      <c r="K98" s="25" t="s">
        <v>390</v>
      </c>
      <c r="L98" s="25">
        <v>15008.88</v>
      </c>
      <c r="M98" s="26" t="s">
        <v>386</v>
      </c>
      <c r="N98" s="25">
        <v>27.6</v>
      </c>
    </row>
    <row r="99" spans="1:14">
      <c r="A99" s="25" t="s">
        <v>499</v>
      </c>
      <c r="B99" s="25" t="s">
        <v>392</v>
      </c>
      <c r="C99" s="25" t="s">
        <v>382</v>
      </c>
      <c r="D99" s="25" t="s">
        <v>383</v>
      </c>
      <c r="E99" s="30">
        <v>9944969047</v>
      </c>
      <c r="F99" s="25" t="s">
        <v>264</v>
      </c>
      <c r="G99" s="25" t="s">
        <v>233</v>
      </c>
      <c r="H99" s="25">
        <v>2596.13</v>
      </c>
      <c r="I99" s="25">
        <v>5</v>
      </c>
      <c r="J99" s="25">
        <v>1453.33</v>
      </c>
      <c r="K99" s="25" t="s">
        <v>390</v>
      </c>
      <c r="L99" s="25">
        <v>12980.65</v>
      </c>
      <c r="M99" s="26" t="s">
        <v>386</v>
      </c>
      <c r="N99" s="25">
        <v>11.2</v>
      </c>
    </row>
    <row r="100" spans="1:14">
      <c r="A100" s="25" t="s">
        <v>500</v>
      </c>
      <c r="B100" s="25" t="s">
        <v>381</v>
      </c>
      <c r="C100" s="25" t="s">
        <v>382</v>
      </c>
      <c r="D100" s="25" t="s">
        <v>393</v>
      </c>
      <c r="E100" s="31">
        <v>56428436</v>
      </c>
      <c r="F100" s="25" t="s">
        <v>264</v>
      </c>
      <c r="G100" s="25" t="s">
        <v>247</v>
      </c>
      <c r="H100" s="25">
        <v>2209.52</v>
      </c>
      <c r="I100" s="25">
        <v>6</v>
      </c>
      <c r="J100" s="25">
        <v>3760.49</v>
      </c>
      <c r="K100" s="25" t="s">
        <v>390</v>
      </c>
      <c r="L100" s="25">
        <v>13257.12</v>
      </c>
      <c r="M100" s="26" t="s">
        <v>386</v>
      </c>
      <c r="N100" s="25">
        <v>28.37</v>
      </c>
    </row>
    <row r="101" spans="1:14">
      <c r="A101" s="25" t="s">
        <v>501</v>
      </c>
      <c r="B101" s="25" t="s">
        <v>403</v>
      </c>
      <c r="C101" s="25" t="s">
        <v>382</v>
      </c>
      <c r="D101" s="25" t="s">
        <v>410</v>
      </c>
      <c r="E101" s="30">
        <v>9705241364</v>
      </c>
      <c r="F101" s="25" t="s">
        <v>388</v>
      </c>
      <c r="G101" s="25" t="s">
        <v>397</v>
      </c>
      <c r="H101" s="25">
        <v>458.7</v>
      </c>
      <c r="I101" s="25">
        <v>7</v>
      </c>
      <c r="J101" s="25">
        <v>839.97</v>
      </c>
      <c r="K101" s="25" t="s">
        <v>390</v>
      </c>
      <c r="L101" s="25">
        <v>3210.9</v>
      </c>
      <c r="M101" s="26" t="s">
        <v>395</v>
      </c>
      <c r="N101" s="25">
        <v>26.16</v>
      </c>
    </row>
    <row r="102" spans="1:14">
      <c r="A102" s="25" t="s">
        <v>502</v>
      </c>
      <c r="B102" s="25" t="s">
        <v>403</v>
      </c>
      <c r="C102" s="25" t="s">
        <v>382</v>
      </c>
      <c r="D102" s="25" t="s">
        <v>383</v>
      </c>
      <c r="E102" s="30">
        <v>9245776255</v>
      </c>
      <c r="F102" s="25" t="s">
        <v>384</v>
      </c>
      <c r="G102" s="25" t="s">
        <v>278</v>
      </c>
      <c r="H102" s="25">
        <v>833.16</v>
      </c>
      <c r="I102" s="25">
        <v>12</v>
      </c>
      <c r="J102" s="25">
        <v>2135.63</v>
      </c>
      <c r="K102" s="25" t="s">
        <v>390</v>
      </c>
      <c r="L102" s="25">
        <v>9997.92</v>
      </c>
      <c r="M102" s="26" t="s">
        <v>399</v>
      </c>
      <c r="N102" s="25">
        <v>21.36</v>
      </c>
    </row>
    <row r="103" spans="1:14">
      <c r="A103" s="25" t="s">
        <v>503</v>
      </c>
      <c r="B103" s="25" t="s">
        <v>403</v>
      </c>
      <c r="C103" s="25" t="s">
        <v>382</v>
      </c>
      <c r="D103" s="25" t="s">
        <v>423</v>
      </c>
      <c r="E103" s="30">
        <v>9881212856</v>
      </c>
      <c r="F103" s="25" t="s">
        <v>384</v>
      </c>
      <c r="G103" s="25" t="s">
        <v>278</v>
      </c>
      <c r="H103" s="25">
        <v>238.37</v>
      </c>
      <c r="I103" s="25">
        <v>13</v>
      </c>
      <c r="J103" s="25">
        <v>586.94000000000005</v>
      </c>
      <c r="K103" s="25" t="s">
        <v>390</v>
      </c>
      <c r="L103" s="25">
        <v>3098.81</v>
      </c>
      <c r="M103" s="26" t="s">
        <v>395</v>
      </c>
      <c r="N103" s="25">
        <v>18.940000000000001</v>
      </c>
    </row>
    <row r="104" spans="1:14">
      <c r="A104" s="25" t="s">
        <v>504</v>
      </c>
      <c r="B104" s="25" t="s">
        <v>381</v>
      </c>
      <c r="C104" s="25" t="s">
        <v>382</v>
      </c>
      <c r="D104" s="25" t="s">
        <v>410</v>
      </c>
      <c r="E104" s="30">
        <v>9916091858</v>
      </c>
      <c r="F104" s="25" t="s">
        <v>384</v>
      </c>
      <c r="G104" s="25" t="s">
        <v>285</v>
      </c>
      <c r="H104" s="25">
        <v>820.05</v>
      </c>
      <c r="I104" s="25">
        <v>3</v>
      </c>
      <c r="J104" s="25">
        <v>419.41</v>
      </c>
      <c r="K104" s="25" t="s">
        <v>281</v>
      </c>
      <c r="L104" s="25">
        <v>2460.15</v>
      </c>
      <c r="M104" s="26" t="s">
        <v>395</v>
      </c>
      <c r="N104" s="25">
        <v>17.05</v>
      </c>
    </row>
    <row r="105" spans="1:14">
      <c r="A105" s="25" t="s">
        <v>505</v>
      </c>
      <c r="B105" s="25" t="s">
        <v>415</v>
      </c>
      <c r="C105" s="25" t="s">
        <v>382</v>
      </c>
      <c r="D105" s="25" t="s">
        <v>383</v>
      </c>
      <c r="E105" s="30">
        <v>9425191872</v>
      </c>
      <c r="F105" s="25" t="s">
        <v>264</v>
      </c>
      <c r="G105" s="25" t="s">
        <v>247</v>
      </c>
      <c r="H105" s="25">
        <v>2716.33</v>
      </c>
      <c r="I105" s="25">
        <v>8</v>
      </c>
      <c r="J105" s="27">
        <v>5513.14</v>
      </c>
      <c r="K105" s="25" t="s">
        <v>390</v>
      </c>
      <c r="L105" s="25">
        <v>21730.639999999999</v>
      </c>
      <c r="M105" s="26" t="s">
        <v>386</v>
      </c>
      <c r="N105" s="25">
        <v>25.37</v>
      </c>
    </row>
    <row r="106" spans="1:14">
      <c r="A106" s="25" t="s">
        <v>506</v>
      </c>
      <c r="B106" s="25" t="s">
        <v>415</v>
      </c>
      <c r="C106" s="25" t="s">
        <v>382</v>
      </c>
      <c r="D106" s="25" t="s">
        <v>423</v>
      </c>
      <c r="E106" s="30">
        <v>9459337548</v>
      </c>
      <c r="F106" s="25" t="s">
        <v>384</v>
      </c>
      <c r="G106" s="25" t="s">
        <v>420</v>
      </c>
      <c r="H106" s="25">
        <v>1918.81</v>
      </c>
      <c r="I106" s="25">
        <v>1</v>
      </c>
      <c r="J106" s="25">
        <v>442.75</v>
      </c>
      <c r="K106" s="25" t="s">
        <v>398</v>
      </c>
      <c r="L106" s="25">
        <v>1918.81</v>
      </c>
      <c r="M106" s="26" t="s">
        <v>395</v>
      </c>
      <c r="N106" s="25">
        <v>23.07</v>
      </c>
    </row>
  </sheetData>
  <conditionalFormatting sqref="E6">
    <cfRule type="expression" dxfId="13" priority="2">
      <formula>LEN($E$7)&lt;&gt;10</formula>
    </cfRule>
  </conditionalFormatting>
  <conditionalFormatting sqref="E8">
    <cfRule type="expression" dxfId="12" priority="1">
      <formula>LEN($E$7)&lt;&gt;10</formula>
    </cfRule>
  </conditionalFormatting>
  <conditionalFormatting sqref="J6">
    <cfRule type="cellIs" dxfId="11" priority="4" operator="greaterThan">
      <formula>5000</formula>
    </cfRule>
  </conditionalFormatting>
  <dataValidations count="1">
    <dataValidation type="whole" allowBlank="1" showInputMessage="1" showErrorMessage="1" sqref="I6" xr:uid="{89110965-F19D-4E08-B9B1-ABC1497A2C6F}">
      <formula1>1</formula1>
      <formula2>20</formula2>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78003-274A-410F-99E8-07F4CD067078}">
  <dimension ref="A1:U101"/>
  <sheetViews>
    <sheetView tabSelected="1" zoomScale="69" workbookViewId="0">
      <selection activeCell="T36" sqref="T36"/>
    </sheetView>
  </sheetViews>
  <sheetFormatPr defaultRowHeight="14.4"/>
  <cols>
    <col min="1" max="1" width="13" customWidth="1"/>
    <col min="2" max="2" width="12.77734375" customWidth="1"/>
    <col min="3" max="3" width="12.6640625" customWidth="1"/>
    <col min="4" max="4" width="12.88671875" customWidth="1"/>
    <col min="5" max="5" width="15.44140625" customWidth="1"/>
    <col min="6" max="6" width="11.88671875" customWidth="1"/>
    <col min="7" max="8" width="13.109375" customWidth="1"/>
    <col min="9" max="9" width="11.21875" customWidth="1"/>
    <col min="10" max="10" width="12.21875" customWidth="1"/>
    <col min="11" max="11" width="17.33203125" customWidth="1"/>
    <col min="12" max="12" width="11.77734375" customWidth="1"/>
    <col min="13" max="13" width="14.88671875" customWidth="1"/>
    <col min="14" max="14" width="11.44140625" customWidth="1"/>
    <col min="15" max="15" width="13" bestFit="1" customWidth="1"/>
    <col min="19" max="19" width="13.44140625" bestFit="1" customWidth="1"/>
    <col min="20" max="20" width="20.109375" bestFit="1" customWidth="1"/>
    <col min="21" max="21" width="12.77734375" bestFit="1" customWidth="1"/>
  </cols>
  <sheetData>
    <row r="1" spans="1:20">
      <c r="A1" s="24" t="s">
        <v>367</v>
      </c>
      <c r="B1" s="24" t="s">
        <v>255</v>
      </c>
      <c r="C1" s="24" t="s">
        <v>368</v>
      </c>
      <c r="D1" s="24" t="s">
        <v>369</v>
      </c>
      <c r="E1" s="28" t="s">
        <v>370</v>
      </c>
      <c r="F1" s="24" t="s">
        <v>371</v>
      </c>
      <c r="G1" s="24" t="s">
        <v>372</v>
      </c>
      <c r="H1" s="24" t="s">
        <v>373</v>
      </c>
      <c r="I1" s="24" t="s">
        <v>374</v>
      </c>
      <c r="J1" s="24" t="s">
        <v>375</v>
      </c>
      <c r="K1" s="24" t="s">
        <v>376</v>
      </c>
      <c r="L1" s="24" t="s">
        <v>377</v>
      </c>
      <c r="M1" s="24" t="s">
        <v>378</v>
      </c>
      <c r="N1" s="24" t="s">
        <v>379</v>
      </c>
      <c r="O1" s="24" t="s">
        <v>508</v>
      </c>
      <c r="P1" s="24" t="s">
        <v>507</v>
      </c>
      <c r="Q1" s="24" t="s">
        <v>379</v>
      </c>
    </row>
    <row r="2" spans="1:20">
      <c r="A2" s="25" t="s">
        <v>380</v>
      </c>
      <c r="B2" s="25" t="s">
        <v>381</v>
      </c>
      <c r="C2" s="25" t="s">
        <v>382</v>
      </c>
      <c r="D2" s="25" t="s">
        <v>383</v>
      </c>
      <c r="E2" s="30">
        <v>9515759149</v>
      </c>
      <c r="F2" s="25" t="s">
        <v>384</v>
      </c>
      <c r="G2" s="25" t="s">
        <v>385</v>
      </c>
      <c r="H2" s="25">
        <v>2439.81</v>
      </c>
      <c r="I2" s="25">
        <v>5</v>
      </c>
      <c r="J2" s="25">
        <v>3559.55</v>
      </c>
      <c r="K2" s="25" t="s">
        <v>266</v>
      </c>
      <c r="L2" s="25">
        <v>12199.05</v>
      </c>
      <c r="M2" s="26" t="s">
        <v>386</v>
      </c>
      <c r="N2" s="25">
        <v>29.18</v>
      </c>
      <c r="O2">
        <f>H2*I2</f>
        <v>12199.05</v>
      </c>
      <c r="P2" t="str">
        <f>IF(O2&gt;=15000,"High",IF(O2&gt;=7000,"Medium","Low"))</f>
        <v>Medium</v>
      </c>
      <c r="Q2">
        <f>ROUND((J2/L2)*100,2)</f>
        <v>29.18</v>
      </c>
    </row>
    <row r="3" spans="1:20">
      <c r="A3" s="25" t="s">
        <v>387</v>
      </c>
      <c r="B3" s="25" t="s">
        <v>381</v>
      </c>
      <c r="C3" s="25" t="s">
        <v>382</v>
      </c>
      <c r="D3" s="25" t="s">
        <v>383</v>
      </c>
      <c r="E3" s="30">
        <v>9720381947</v>
      </c>
      <c r="F3" s="25" t="s">
        <v>388</v>
      </c>
      <c r="G3" s="25" t="s">
        <v>389</v>
      </c>
      <c r="H3" s="25">
        <v>1621.43</v>
      </c>
      <c r="I3" s="25">
        <v>13</v>
      </c>
      <c r="J3" s="25">
        <v>4029.57</v>
      </c>
      <c r="K3" s="25" t="s">
        <v>390</v>
      </c>
      <c r="L3" s="25">
        <v>21078.59</v>
      </c>
      <c r="M3" s="26" t="s">
        <v>386</v>
      </c>
      <c r="N3" s="25">
        <v>19.12</v>
      </c>
      <c r="O3">
        <f t="shared" ref="O3:O66" si="0">H3*I3</f>
        <v>21078.59</v>
      </c>
      <c r="P3" t="str">
        <f>IF(O3&gt;=15000,"High",IF(O3&gt;=7000,"Medium","Low"))</f>
        <v>High</v>
      </c>
      <c r="Q3">
        <f t="shared" ref="Q3:Q66" si="1">ROUND((J3/L3)*100,2)</f>
        <v>19.12</v>
      </c>
    </row>
    <row r="4" spans="1:20">
      <c r="A4" s="25" t="s">
        <v>391</v>
      </c>
      <c r="B4" s="25" t="s">
        <v>392</v>
      </c>
      <c r="C4" s="25" t="s">
        <v>382</v>
      </c>
      <c r="D4" s="25" t="s">
        <v>393</v>
      </c>
      <c r="E4" s="30">
        <v>9483465530</v>
      </c>
      <c r="F4" s="25" t="s">
        <v>384</v>
      </c>
      <c r="G4" s="25" t="s">
        <v>394</v>
      </c>
      <c r="H4" s="25">
        <v>1363.73</v>
      </c>
      <c r="I4" s="25">
        <v>1</v>
      </c>
      <c r="J4" s="25">
        <v>362.2</v>
      </c>
      <c r="K4" s="25" t="s">
        <v>390</v>
      </c>
      <c r="L4" s="25">
        <v>1363.73</v>
      </c>
      <c r="M4" s="26" t="s">
        <v>395</v>
      </c>
      <c r="N4" s="25">
        <v>26.56</v>
      </c>
      <c r="O4">
        <f t="shared" si="0"/>
        <v>1363.73</v>
      </c>
      <c r="P4" t="str">
        <f t="shared" ref="P4:P67" si="2">IF(O4&gt;=15000,"High",IF(O4&gt;=7000,"Medium","Low"))</f>
        <v>Low</v>
      </c>
      <c r="Q4">
        <f t="shared" si="1"/>
        <v>26.56</v>
      </c>
    </row>
    <row r="5" spans="1:20">
      <c r="A5" s="25" t="s">
        <v>396</v>
      </c>
      <c r="B5" s="25" t="s">
        <v>392</v>
      </c>
      <c r="C5" s="25" t="s">
        <v>382</v>
      </c>
      <c r="D5" s="25" t="s">
        <v>393</v>
      </c>
      <c r="E5" s="30">
        <v>9350165589</v>
      </c>
      <c r="F5" s="25" t="s">
        <v>388</v>
      </c>
      <c r="G5" s="25" t="s">
        <v>397</v>
      </c>
      <c r="H5" s="25">
        <v>1172.93</v>
      </c>
      <c r="I5" s="25">
        <v>5</v>
      </c>
      <c r="J5" s="25">
        <v>1542.65</v>
      </c>
      <c r="K5" s="25" t="s">
        <v>398</v>
      </c>
      <c r="L5" s="25">
        <v>5864.65</v>
      </c>
      <c r="M5" s="26" t="s">
        <v>399</v>
      </c>
      <c r="N5" s="25">
        <v>26.3</v>
      </c>
      <c r="O5">
        <f t="shared" si="0"/>
        <v>5864.6500000000005</v>
      </c>
      <c r="P5" t="str">
        <f t="shared" si="2"/>
        <v>Low</v>
      </c>
      <c r="Q5">
        <f t="shared" si="1"/>
        <v>26.3</v>
      </c>
    </row>
    <row r="6" spans="1:20">
      <c r="A6" s="25" t="s">
        <v>400</v>
      </c>
      <c r="B6" s="25" t="s">
        <v>392</v>
      </c>
      <c r="C6" s="25" t="s">
        <v>382</v>
      </c>
      <c r="D6" s="25" t="s">
        <v>383</v>
      </c>
      <c r="E6" s="30">
        <v>9621991901</v>
      </c>
      <c r="F6" s="25" t="s">
        <v>384</v>
      </c>
      <c r="G6" s="25" t="s">
        <v>278</v>
      </c>
      <c r="H6" s="25">
        <v>2457.56</v>
      </c>
      <c r="I6" s="25">
        <v>13</v>
      </c>
      <c r="J6" s="27">
        <v>6972.71</v>
      </c>
      <c r="K6" s="25" t="s">
        <v>266</v>
      </c>
      <c r="L6" s="25">
        <v>31948.28</v>
      </c>
      <c r="M6" s="26" t="s">
        <v>386</v>
      </c>
      <c r="N6" s="25">
        <v>21.82</v>
      </c>
      <c r="O6">
        <f t="shared" si="0"/>
        <v>31948.28</v>
      </c>
      <c r="P6" t="str">
        <f t="shared" si="2"/>
        <v>High</v>
      </c>
      <c r="Q6">
        <f t="shared" si="1"/>
        <v>21.82</v>
      </c>
    </row>
    <row r="7" spans="1:20">
      <c r="A7" s="25" t="s">
        <v>401</v>
      </c>
      <c r="B7" s="25" t="s">
        <v>392</v>
      </c>
      <c r="C7" s="25" t="s">
        <v>382</v>
      </c>
      <c r="D7" s="25" t="s">
        <v>393</v>
      </c>
      <c r="E7" s="30">
        <v>9734105442</v>
      </c>
      <c r="F7" s="25" t="s">
        <v>384</v>
      </c>
      <c r="G7" s="25" t="s">
        <v>285</v>
      </c>
      <c r="H7" s="25">
        <v>2661.44</v>
      </c>
      <c r="I7" s="25">
        <v>7</v>
      </c>
      <c r="J7" s="25">
        <v>2581.67</v>
      </c>
      <c r="K7" s="25" t="s">
        <v>390</v>
      </c>
      <c r="L7" s="25">
        <v>18630.080000000002</v>
      </c>
      <c r="M7" s="26" t="s">
        <v>386</v>
      </c>
      <c r="N7" s="25">
        <v>13.86</v>
      </c>
      <c r="O7">
        <f t="shared" si="0"/>
        <v>18630.080000000002</v>
      </c>
      <c r="P7" t="str">
        <f t="shared" si="2"/>
        <v>High</v>
      </c>
      <c r="Q7">
        <f t="shared" si="1"/>
        <v>13.86</v>
      </c>
    </row>
    <row r="8" spans="1:20">
      <c r="A8" s="25" t="s">
        <v>402</v>
      </c>
      <c r="B8" s="25" t="s">
        <v>403</v>
      </c>
      <c r="C8" s="25" t="s">
        <v>382</v>
      </c>
      <c r="D8" s="25" t="s">
        <v>404</v>
      </c>
      <c r="E8" s="30">
        <v>9117390999</v>
      </c>
      <c r="F8" s="25" t="s">
        <v>384</v>
      </c>
      <c r="G8" s="25" t="s">
        <v>394</v>
      </c>
      <c r="H8" s="25">
        <v>1400.82</v>
      </c>
      <c r="I8" s="25">
        <v>6</v>
      </c>
      <c r="J8" s="25">
        <v>994.44</v>
      </c>
      <c r="K8" s="25" t="s">
        <v>281</v>
      </c>
      <c r="L8" s="25">
        <v>8404.92</v>
      </c>
      <c r="M8" s="26" t="s">
        <v>399</v>
      </c>
      <c r="N8" s="25">
        <v>11.83</v>
      </c>
      <c r="O8">
        <f t="shared" si="0"/>
        <v>8404.92</v>
      </c>
      <c r="P8" t="str">
        <f t="shared" si="2"/>
        <v>Medium</v>
      </c>
      <c r="Q8">
        <f t="shared" si="1"/>
        <v>11.83</v>
      </c>
    </row>
    <row r="9" spans="1:20">
      <c r="A9" s="25" t="s">
        <v>405</v>
      </c>
      <c r="B9" s="25" t="s">
        <v>381</v>
      </c>
      <c r="C9" s="25" t="s">
        <v>382</v>
      </c>
      <c r="D9" s="25" t="s">
        <v>383</v>
      </c>
      <c r="E9" s="30">
        <v>9513032833</v>
      </c>
      <c r="F9" s="25" t="s">
        <v>388</v>
      </c>
      <c r="G9" s="25" t="s">
        <v>406</v>
      </c>
      <c r="H9" s="25">
        <v>416.18</v>
      </c>
      <c r="I9" s="25">
        <v>3</v>
      </c>
      <c r="J9" s="25">
        <v>327.88</v>
      </c>
      <c r="K9" s="25" t="s">
        <v>390</v>
      </c>
      <c r="L9" s="25">
        <v>1248.54</v>
      </c>
      <c r="M9" s="26" t="s">
        <v>395</v>
      </c>
      <c r="N9" s="25">
        <v>26.26</v>
      </c>
      <c r="O9">
        <f t="shared" si="0"/>
        <v>1248.54</v>
      </c>
      <c r="P9" t="str">
        <f t="shared" si="2"/>
        <v>Low</v>
      </c>
      <c r="Q9">
        <f t="shared" si="1"/>
        <v>26.26</v>
      </c>
    </row>
    <row r="10" spans="1:20">
      <c r="A10" s="25" t="s">
        <v>407</v>
      </c>
      <c r="B10" s="25" t="s">
        <v>392</v>
      </c>
      <c r="C10" s="25" t="s">
        <v>382</v>
      </c>
      <c r="D10" s="25" t="s">
        <v>408</v>
      </c>
      <c r="E10" s="31">
        <v>95543976868</v>
      </c>
      <c r="F10" s="25" t="s">
        <v>388</v>
      </c>
      <c r="G10" s="25" t="s">
        <v>406</v>
      </c>
      <c r="H10" s="25">
        <v>1290.47</v>
      </c>
      <c r="I10" s="25">
        <v>6</v>
      </c>
      <c r="J10" s="25">
        <v>1045.43</v>
      </c>
      <c r="K10" s="25" t="s">
        <v>390</v>
      </c>
      <c r="L10" s="25">
        <v>7742.82</v>
      </c>
      <c r="M10" s="26" t="s">
        <v>399</v>
      </c>
      <c r="N10" s="25">
        <v>13.5</v>
      </c>
      <c r="O10">
        <f t="shared" si="0"/>
        <v>7742.82</v>
      </c>
      <c r="P10" t="str">
        <f t="shared" si="2"/>
        <v>Medium</v>
      </c>
      <c r="Q10">
        <f t="shared" si="1"/>
        <v>13.5</v>
      </c>
    </row>
    <row r="11" spans="1:20">
      <c r="A11" s="25" t="s">
        <v>409</v>
      </c>
      <c r="B11" s="25" t="s">
        <v>381</v>
      </c>
      <c r="C11" s="25" t="s">
        <v>382</v>
      </c>
      <c r="D11" s="25" t="s">
        <v>410</v>
      </c>
      <c r="E11" s="30">
        <v>9866250123</v>
      </c>
      <c r="F11" s="25" t="s">
        <v>384</v>
      </c>
      <c r="G11" s="25" t="s">
        <v>394</v>
      </c>
      <c r="H11" s="25">
        <v>2519.94</v>
      </c>
      <c r="I11" s="25">
        <v>15</v>
      </c>
      <c r="J11" s="27">
        <v>11123.31</v>
      </c>
      <c r="K11" s="25" t="s">
        <v>398</v>
      </c>
      <c r="L11" s="25">
        <v>37799.1</v>
      </c>
      <c r="M11" s="26" t="s">
        <v>386</v>
      </c>
      <c r="N11" s="25">
        <v>29.43</v>
      </c>
      <c r="O11">
        <f t="shared" si="0"/>
        <v>37799.1</v>
      </c>
      <c r="P11" t="str">
        <f t="shared" si="2"/>
        <v>High</v>
      </c>
      <c r="Q11">
        <f t="shared" si="1"/>
        <v>29.43</v>
      </c>
    </row>
    <row r="12" spans="1:20">
      <c r="A12" s="25" t="s">
        <v>411</v>
      </c>
      <c r="B12" s="25" t="s">
        <v>392</v>
      </c>
      <c r="C12" s="25" t="s">
        <v>382</v>
      </c>
      <c r="D12" s="25" t="s">
        <v>412</v>
      </c>
      <c r="E12" s="30">
        <v>9884314044</v>
      </c>
      <c r="F12" s="25" t="s">
        <v>384</v>
      </c>
      <c r="G12" s="25" t="s">
        <v>394</v>
      </c>
      <c r="H12" s="25">
        <v>2814.97</v>
      </c>
      <c r="I12" s="25">
        <v>1</v>
      </c>
      <c r="J12" s="25">
        <v>716.15</v>
      </c>
      <c r="K12" s="25" t="s">
        <v>390</v>
      </c>
      <c r="L12" s="25">
        <v>2814.97</v>
      </c>
      <c r="M12" s="26" t="s">
        <v>395</v>
      </c>
      <c r="N12" s="25">
        <v>25.44</v>
      </c>
      <c r="O12">
        <f t="shared" si="0"/>
        <v>2814.97</v>
      </c>
      <c r="P12" t="str">
        <f t="shared" si="2"/>
        <v>Low</v>
      </c>
      <c r="Q12">
        <f t="shared" si="1"/>
        <v>25.44</v>
      </c>
    </row>
    <row r="13" spans="1:20">
      <c r="A13" s="25" t="s">
        <v>413</v>
      </c>
      <c r="B13" s="25" t="s">
        <v>403</v>
      </c>
      <c r="C13" s="25" t="s">
        <v>382</v>
      </c>
      <c r="D13" s="25" t="s">
        <v>393</v>
      </c>
      <c r="E13" s="30">
        <v>9192128284</v>
      </c>
      <c r="F13" s="25" t="s">
        <v>384</v>
      </c>
      <c r="G13" s="25" t="s">
        <v>278</v>
      </c>
      <c r="H13" s="25">
        <v>841.72</v>
      </c>
      <c r="I13" s="25">
        <v>13</v>
      </c>
      <c r="J13" s="25">
        <v>2130.1799999999998</v>
      </c>
      <c r="K13" s="25" t="s">
        <v>281</v>
      </c>
      <c r="L13" s="25">
        <v>10942.36</v>
      </c>
      <c r="M13" s="26" t="s">
        <v>386</v>
      </c>
      <c r="N13" s="25">
        <v>19.47</v>
      </c>
      <c r="O13">
        <f t="shared" si="0"/>
        <v>10942.36</v>
      </c>
      <c r="P13" t="str">
        <f t="shared" si="2"/>
        <v>Medium</v>
      </c>
      <c r="Q13">
        <f t="shared" si="1"/>
        <v>19.47</v>
      </c>
    </row>
    <row r="14" spans="1:20">
      <c r="A14" s="25" t="s">
        <v>414</v>
      </c>
      <c r="B14" s="25" t="s">
        <v>415</v>
      </c>
      <c r="C14" s="25" t="s">
        <v>382</v>
      </c>
      <c r="D14" s="25" t="s">
        <v>393</v>
      </c>
      <c r="E14" s="30">
        <v>9731590483</v>
      </c>
      <c r="F14" s="25" t="s">
        <v>264</v>
      </c>
      <c r="G14" s="25" t="s">
        <v>319</v>
      </c>
      <c r="H14" s="25">
        <v>1169.28</v>
      </c>
      <c r="I14" s="25">
        <v>2</v>
      </c>
      <c r="J14" s="25">
        <v>273.95</v>
      </c>
      <c r="K14" s="25" t="s">
        <v>266</v>
      </c>
      <c r="L14" s="25">
        <v>2338.56</v>
      </c>
      <c r="M14" s="26" t="s">
        <v>395</v>
      </c>
      <c r="N14" s="25">
        <v>11.71</v>
      </c>
      <c r="O14">
        <f t="shared" si="0"/>
        <v>2338.56</v>
      </c>
      <c r="P14" t="str">
        <f t="shared" si="2"/>
        <v>Low</v>
      </c>
      <c r="Q14">
        <f t="shared" si="1"/>
        <v>11.71</v>
      </c>
    </row>
    <row r="15" spans="1:20">
      <c r="A15" s="25" t="s">
        <v>416</v>
      </c>
      <c r="B15" s="25" t="s">
        <v>381</v>
      </c>
      <c r="C15" s="25" t="s">
        <v>382</v>
      </c>
      <c r="D15" s="25" t="s">
        <v>383</v>
      </c>
      <c r="E15" s="30">
        <v>9245312903</v>
      </c>
      <c r="F15" s="25" t="s">
        <v>388</v>
      </c>
      <c r="G15" s="25" t="s">
        <v>323</v>
      </c>
      <c r="H15" s="25">
        <v>2320.0300000000002</v>
      </c>
      <c r="I15" s="25">
        <v>3</v>
      </c>
      <c r="J15" s="25">
        <v>1260.55</v>
      </c>
      <c r="K15" s="25" t="s">
        <v>266</v>
      </c>
      <c r="L15" s="25">
        <v>6960.09</v>
      </c>
      <c r="M15" s="26" t="s">
        <v>399</v>
      </c>
      <c r="N15" s="25">
        <v>18.11</v>
      </c>
      <c r="O15">
        <f t="shared" si="0"/>
        <v>6960.09</v>
      </c>
      <c r="P15" t="str">
        <f t="shared" si="2"/>
        <v>Low</v>
      </c>
      <c r="Q15">
        <f t="shared" si="1"/>
        <v>18.11</v>
      </c>
      <c r="S15" s="14" t="s">
        <v>225</v>
      </c>
      <c r="T15" t="s">
        <v>510</v>
      </c>
    </row>
    <row r="16" spans="1:20">
      <c r="A16" s="25" t="s">
        <v>417</v>
      </c>
      <c r="B16" s="25" t="s">
        <v>415</v>
      </c>
      <c r="C16" s="25" t="s">
        <v>382</v>
      </c>
      <c r="D16" s="25" t="s">
        <v>393</v>
      </c>
      <c r="E16" s="30">
        <v>9587137236</v>
      </c>
      <c r="F16" s="25" t="s">
        <v>384</v>
      </c>
      <c r="G16" s="25" t="s">
        <v>394</v>
      </c>
      <c r="H16" s="25">
        <v>1780.66</v>
      </c>
      <c r="I16" s="25">
        <v>11</v>
      </c>
      <c r="J16" s="25">
        <v>2826.93</v>
      </c>
      <c r="K16" s="25" t="s">
        <v>281</v>
      </c>
      <c r="L16" s="25">
        <v>19587.259999999998</v>
      </c>
      <c r="M16" s="26" t="s">
        <v>386</v>
      </c>
      <c r="N16" s="25">
        <v>14.43</v>
      </c>
      <c r="O16">
        <f t="shared" si="0"/>
        <v>19587.260000000002</v>
      </c>
      <c r="P16" t="str">
        <f t="shared" si="2"/>
        <v>High</v>
      </c>
      <c r="Q16">
        <f t="shared" si="1"/>
        <v>14.43</v>
      </c>
      <c r="S16" s="15" t="s">
        <v>384</v>
      </c>
      <c r="T16" s="32">
        <v>7.2249999999999996</v>
      </c>
    </row>
    <row r="17" spans="1:21">
      <c r="A17" s="25" t="s">
        <v>418</v>
      </c>
      <c r="B17" s="25" t="s">
        <v>415</v>
      </c>
      <c r="C17" s="25" t="s">
        <v>382</v>
      </c>
      <c r="D17" s="25" t="s">
        <v>404</v>
      </c>
      <c r="E17" s="30">
        <v>9161819590</v>
      </c>
      <c r="F17" s="25" t="s">
        <v>264</v>
      </c>
      <c r="G17" s="25" t="s">
        <v>239</v>
      </c>
      <c r="H17" s="25">
        <v>2672</v>
      </c>
      <c r="I17" s="25">
        <v>15</v>
      </c>
      <c r="J17" s="25">
        <v>4719.91</v>
      </c>
      <c r="K17" s="25" t="s">
        <v>398</v>
      </c>
      <c r="L17" s="25">
        <v>40080</v>
      </c>
      <c r="M17" s="26" t="s">
        <v>386</v>
      </c>
      <c r="N17" s="25">
        <v>11.78</v>
      </c>
      <c r="O17">
        <f t="shared" si="0"/>
        <v>40080</v>
      </c>
      <c r="P17" t="str">
        <f t="shared" si="2"/>
        <v>High</v>
      </c>
      <c r="Q17">
        <f t="shared" si="1"/>
        <v>11.78</v>
      </c>
      <c r="S17" s="15" t="s">
        <v>264</v>
      </c>
      <c r="T17" s="32">
        <v>8.115384615384615</v>
      </c>
    </row>
    <row r="18" spans="1:21">
      <c r="A18" s="25" t="s">
        <v>419</v>
      </c>
      <c r="B18" s="25" t="s">
        <v>392</v>
      </c>
      <c r="C18" s="25" t="s">
        <v>382</v>
      </c>
      <c r="D18" s="25" t="s">
        <v>393</v>
      </c>
      <c r="E18" s="30">
        <v>9551484924</v>
      </c>
      <c r="F18" s="25" t="s">
        <v>384</v>
      </c>
      <c r="G18" s="25" t="s">
        <v>420</v>
      </c>
      <c r="H18" s="25">
        <v>824.49</v>
      </c>
      <c r="I18" s="25">
        <v>9</v>
      </c>
      <c r="J18" s="25">
        <v>1403.14</v>
      </c>
      <c r="K18" s="25" t="s">
        <v>421</v>
      </c>
      <c r="L18" s="25">
        <v>7420.41</v>
      </c>
      <c r="M18" s="26" t="s">
        <v>399</v>
      </c>
      <c r="N18" s="25">
        <v>18.91</v>
      </c>
      <c r="O18">
        <f t="shared" si="0"/>
        <v>7420.41</v>
      </c>
      <c r="P18" t="str">
        <f t="shared" si="2"/>
        <v>Medium</v>
      </c>
      <c r="Q18">
        <f t="shared" si="1"/>
        <v>18.91</v>
      </c>
      <c r="S18" s="15" t="s">
        <v>388</v>
      </c>
      <c r="T18" s="32">
        <v>7.7647058823529411</v>
      </c>
    </row>
    <row r="19" spans="1:21">
      <c r="A19" s="25" t="s">
        <v>422</v>
      </c>
      <c r="B19" s="25" t="s">
        <v>403</v>
      </c>
      <c r="C19" s="25" t="s">
        <v>382</v>
      </c>
      <c r="D19" s="25" t="s">
        <v>423</v>
      </c>
      <c r="E19" s="31">
        <v>91682255459</v>
      </c>
      <c r="F19" s="25" t="s">
        <v>264</v>
      </c>
      <c r="G19" s="25" t="s">
        <v>247</v>
      </c>
      <c r="H19" s="25">
        <v>2896.96</v>
      </c>
      <c r="I19" s="25">
        <v>7</v>
      </c>
      <c r="J19" s="25">
        <v>3528.3</v>
      </c>
      <c r="K19" s="25" t="s">
        <v>390</v>
      </c>
      <c r="L19" s="25">
        <v>20278.72</v>
      </c>
      <c r="M19" s="26" t="s">
        <v>386</v>
      </c>
      <c r="N19" s="25">
        <v>17.399999999999999</v>
      </c>
      <c r="O19">
        <f t="shared" si="0"/>
        <v>20278.72</v>
      </c>
      <c r="P19" t="str">
        <f t="shared" si="2"/>
        <v>High</v>
      </c>
      <c r="Q19">
        <f t="shared" si="1"/>
        <v>17.399999999999999</v>
      </c>
      <c r="S19" s="15" t="s">
        <v>226</v>
      </c>
      <c r="T19" s="32">
        <v>7.64</v>
      </c>
    </row>
    <row r="20" spans="1:21">
      <c r="A20" s="25" t="s">
        <v>424</v>
      </c>
      <c r="B20" s="25" t="s">
        <v>392</v>
      </c>
      <c r="C20" s="25" t="s">
        <v>382</v>
      </c>
      <c r="D20" s="25" t="s">
        <v>408</v>
      </c>
      <c r="E20" s="30">
        <v>9277023818</v>
      </c>
      <c r="F20" s="25" t="s">
        <v>264</v>
      </c>
      <c r="G20" s="25" t="s">
        <v>239</v>
      </c>
      <c r="H20" s="25">
        <v>1235.32</v>
      </c>
      <c r="I20" s="25">
        <v>9</v>
      </c>
      <c r="J20" s="25">
        <v>2542.0700000000002</v>
      </c>
      <c r="K20" s="25" t="s">
        <v>421</v>
      </c>
      <c r="L20" s="25">
        <v>11117.88</v>
      </c>
      <c r="M20" s="26" t="s">
        <v>386</v>
      </c>
      <c r="N20" s="25">
        <v>22.86</v>
      </c>
      <c r="O20">
        <f t="shared" si="0"/>
        <v>11117.88</v>
      </c>
      <c r="P20" t="str">
        <f t="shared" si="2"/>
        <v>Medium</v>
      </c>
      <c r="Q20">
        <f t="shared" si="1"/>
        <v>22.86</v>
      </c>
    </row>
    <row r="21" spans="1:21">
      <c r="A21" s="25" t="s">
        <v>425</v>
      </c>
      <c r="B21" s="25" t="s">
        <v>403</v>
      </c>
      <c r="C21" s="25" t="s">
        <v>382</v>
      </c>
      <c r="D21" s="25" t="s">
        <v>410</v>
      </c>
      <c r="E21" s="30">
        <v>9670448490</v>
      </c>
      <c r="F21" s="25" t="s">
        <v>388</v>
      </c>
      <c r="G21" s="25" t="s">
        <v>389</v>
      </c>
      <c r="H21" s="25">
        <v>2168.33</v>
      </c>
      <c r="I21" s="25">
        <v>3</v>
      </c>
      <c r="J21" s="25">
        <v>1394.93</v>
      </c>
      <c r="K21" s="25" t="s">
        <v>398</v>
      </c>
      <c r="L21" s="25">
        <v>6504.99</v>
      </c>
      <c r="M21" s="26" t="s">
        <v>399</v>
      </c>
      <c r="N21" s="25">
        <v>21.44</v>
      </c>
      <c r="O21">
        <f t="shared" si="0"/>
        <v>6504.99</v>
      </c>
      <c r="P21" t="str">
        <f t="shared" si="2"/>
        <v>Low</v>
      </c>
      <c r="Q21">
        <f t="shared" si="1"/>
        <v>21.44</v>
      </c>
    </row>
    <row r="22" spans="1:21">
      <c r="A22" s="25" t="s">
        <v>426</v>
      </c>
      <c r="B22" s="25" t="s">
        <v>403</v>
      </c>
      <c r="C22" s="25" t="s">
        <v>382</v>
      </c>
      <c r="D22" s="25" t="s">
        <v>393</v>
      </c>
      <c r="E22" s="30">
        <v>9123788207</v>
      </c>
      <c r="F22" s="25" t="s">
        <v>384</v>
      </c>
      <c r="G22" s="25" t="s">
        <v>420</v>
      </c>
      <c r="H22" s="25">
        <v>2654.54</v>
      </c>
      <c r="I22" s="25">
        <v>5</v>
      </c>
      <c r="J22" s="25">
        <v>3308.52</v>
      </c>
      <c r="K22" s="25" t="s">
        <v>421</v>
      </c>
      <c r="L22" s="25">
        <v>13272.7</v>
      </c>
      <c r="M22" s="26" t="s">
        <v>386</v>
      </c>
      <c r="N22" s="25">
        <v>24.93</v>
      </c>
      <c r="O22">
        <f t="shared" si="0"/>
        <v>13272.7</v>
      </c>
      <c r="P22" t="str">
        <f t="shared" si="2"/>
        <v>Medium</v>
      </c>
      <c r="Q22">
        <f t="shared" si="1"/>
        <v>24.93</v>
      </c>
    </row>
    <row r="23" spans="1:21">
      <c r="A23" s="25" t="s">
        <v>427</v>
      </c>
      <c r="B23" s="25" t="s">
        <v>381</v>
      </c>
      <c r="C23" s="25" t="s">
        <v>382</v>
      </c>
      <c r="D23" s="25" t="s">
        <v>404</v>
      </c>
      <c r="E23" s="31">
        <v>99831923457</v>
      </c>
      <c r="F23" s="25" t="s">
        <v>264</v>
      </c>
      <c r="G23" s="25" t="s">
        <v>233</v>
      </c>
      <c r="H23" s="25">
        <v>1313.77</v>
      </c>
      <c r="I23" s="25">
        <v>7</v>
      </c>
      <c r="J23" s="25">
        <v>2435.5500000000002</v>
      </c>
      <c r="K23" s="25" t="s">
        <v>398</v>
      </c>
      <c r="L23" s="25">
        <v>9196.39</v>
      </c>
      <c r="M23" s="26" t="s">
        <v>399</v>
      </c>
      <c r="N23" s="25">
        <v>26.48</v>
      </c>
      <c r="O23">
        <f t="shared" si="0"/>
        <v>9196.39</v>
      </c>
      <c r="P23" t="str">
        <f t="shared" si="2"/>
        <v>Medium</v>
      </c>
      <c r="Q23">
        <f t="shared" si="1"/>
        <v>26.48</v>
      </c>
    </row>
    <row r="24" spans="1:21">
      <c r="A24" s="25" t="s">
        <v>428</v>
      </c>
      <c r="B24" s="25" t="s">
        <v>403</v>
      </c>
      <c r="C24" s="25" t="s">
        <v>382</v>
      </c>
      <c r="D24" s="25" t="s">
        <v>410</v>
      </c>
      <c r="E24" s="30">
        <v>9822358874</v>
      </c>
      <c r="F24" s="25" t="s">
        <v>264</v>
      </c>
      <c r="G24" s="25" t="s">
        <v>247</v>
      </c>
      <c r="H24" s="25">
        <v>1602.24</v>
      </c>
      <c r="I24" s="25">
        <v>13</v>
      </c>
      <c r="J24" s="25">
        <v>3082.85</v>
      </c>
      <c r="K24" s="25" t="s">
        <v>421</v>
      </c>
      <c r="L24" s="25">
        <v>20829.12</v>
      </c>
      <c r="M24" s="26" t="s">
        <v>386</v>
      </c>
      <c r="N24" s="25">
        <v>14.8</v>
      </c>
      <c r="O24">
        <f t="shared" si="0"/>
        <v>20829.12</v>
      </c>
      <c r="P24" t="str">
        <f t="shared" si="2"/>
        <v>High</v>
      </c>
      <c r="Q24">
        <f t="shared" si="1"/>
        <v>14.8</v>
      </c>
      <c r="S24" s="14" t="s">
        <v>225</v>
      </c>
      <c r="T24" t="s">
        <v>509</v>
      </c>
      <c r="U24" t="s">
        <v>511</v>
      </c>
    </row>
    <row r="25" spans="1:21">
      <c r="A25" s="25" t="s">
        <v>429</v>
      </c>
      <c r="B25" s="25" t="s">
        <v>381</v>
      </c>
      <c r="C25" s="25" t="s">
        <v>382</v>
      </c>
      <c r="D25" s="25" t="s">
        <v>423</v>
      </c>
      <c r="E25" s="30">
        <v>9497595031</v>
      </c>
      <c r="F25" s="25" t="s">
        <v>388</v>
      </c>
      <c r="G25" s="25" t="s">
        <v>397</v>
      </c>
      <c r="H25" s="25">
        <v>592.33000000000004</v>
      </c>
      <c r="I25" s="25">
        <v>4</v>
      </c>
      <c r="J25" s="25">
        <v>539.64</v>
      </c>
      <c r="K25" s="25" t="s">
        <v>390</v>
      </c>
      <c r="L25" s="25">
        <v>2369.3200000000002</v>
      </c>
      <c r="M25" s="26" t="s">
        <v>395</v>
      </c>
      <c r="N25" s="25">
        <v>22.78</v>
      </c>
      <c r="O25">
        <f t="shared" si="0"/>
        <v>2369.3200000000002</v>
      </c>
      <c r="P25" t="str">
        <f t="shared" si="2"/>
        <v>Low</v>
      </c>
      <c r="Q25">
        <f t="shared" si="1"/>
        <v>22.78</v>
      </c>
      <c r="S25" s="15" t="s">
        <v>403</v>
      </c>
      <c r="T25" s="32">
        <v>304204.76999999996</v>
      </c>
      <c r="U25" s="32">
        <v>65576.37000000001</v>
      </c>
    </row>
    <row r="26" spans="1:21">
      <c r="A26" s="25" t="s">
        <v>430</v>
      </c>
      <c r="B26" s="25" t="s">
        <v>392</v>
      </c>
      <c r="C26" s="25" t="s">
        <v>382</v>
      </c>
      <c r="D26" s="25" t="s">
        <v>412</v>
      </c>
      <c r="E26" s="30">
        <v>9781615192</v>
      </c>
      <c r="F26" s="25" t="s">
        <v>264</v>
      </c>
      <c r="G26" s="25" t="s">
        <v>239</v>
      </c>
      <c r="H26" s="25">
        <v>589.14</v>
      </c>
      <c r="I26" s="25">
        <v>8</v>
      </c>
      <c r="J26" s="25">
        <v>1252.56</v>
      </c>
      <c r="K26" s="25" t="s">
        <v>398</v>
      </c>
      <c r="L26" s="25">
        <v>4713.12</v>
      </c>
      <c r="M26" s="26" t="s">
        <v>395</v>
      </c>
      <c r="N26" s="25">
        <v>26.58</v>
      </c>
      <c r="O26">
        <f t="shared" si="0"/>
        <v>4713.12</v>
      </c>
      <c r="P26" t="str">
        <f t="shared" si="2"/>
        <v>Low</v>
      </c>
      <c r="Q26">
        <f t="shared" si="1"/>
        <v>26.58</v>
      </c>
      <c r="S26" s="15" t="s">
        <v>415</v>
      </c>
      <c r="T26" s="32">
        <v>290473.09000000003</v>
      </c>
      <c r="U26" s="32">
        <v>53496.26</v>
      </c>
    </row>
    <row r="27" spans="1:21">
      <c r="A27" s="25" t="s">
        <v>431</v>
      </c>
      <c r="B27" s="25" t="s">
        <v>415</v>
      </c>
      <c r="C27" s="25" t="s">
        <v>382</v>
      </c>
      <c r="D27" s="25" t="s">
        <v>423</v>
      </c>
      <c r="E27" s="30">
        <v>9310431691</v>
      </c>
      <c r="F27" s="25" t="s">
        <v>388</v>
      </c>
      <c r="G27" s="25" t="s">
        <v>406</v>
      </c>
      <c r="H27" s="25">
        <v>2354.6</v>
      </c>
      <c r="I27" s="25">
        <v>4</v>
      </c>
      <c r="J27" s="25">
        <v>2575.4299999999998</v>
      </c>
      <c r="K27" s="25" t="s">
        <v>266</v>
      </c>
      <c r="L27" s="25">
        <v>9418.4</v>
      </c>
      <c r="M27" s="26" t="s">
        <v>399</v>
      </c>
      <c r="N27" s="25">
        <v>27.34</v>
      </c>
      <c r="O27">
        <f t="shared" si="0"/>
        <v>9418.4</v>
      </c>
      <c r="P27" t="str">
        <f t="shared" si="2"/>
        <v>Medium</v>
      </c>
      <c r="Q27">
        <f t="shared" si="1"/>
        <v>27.34</v>
      </c>
      <c r="S27" s="15" t="s">
        <v>392</v>
      </c>
      <c r="T27" s="32">
        <v>278867.12999999995</v>
      </c>
      <c r="U27" s="32">
        <v>52548.770000000004</v>
      </c>
    </row>
    <row r="28" spans="1:21">
      <c r="A28" s="25" t="s">
        <v>432</v>
      </c>
      <c r="B28" s="25" t="s">
        <v>403</v>
      </c>
      <c r="C28" s="25" t="s">
        <v>382</v>
      </c>
      <c r="D28" s="25" t="s">
        <v>423</v>
      </c>
      <c r="E28" s="30">
        <v>9375633062</v>
      </c>
      <c r="F28" s="25" t="s">
        <v>264</v>
      </c>
      <c r="G28" s="25" t="s">
        <v>287</v>
      </c>
      <c r="H28" s="25">
        <v>1920.55</v>
      </c>
      <c r="I28" s="25">
        <v>6</v>
      </c>
      <c r="J28" s="25">
        <v>2254.59</v>
      </c>
      <c r="K28" s="25" t="s">
        <v>266</v>
      </c>
      <c r="L28" s="25">
        <v>11523.3</v>
      </c>
      <c r="M28" s="26" t="s">
        <v>386</v>
      </c>
      <c r="N28" s="25">
        <v>19.57</v>
      </c>
      <c r="O28">
        <f t="shared" si="0"/>
        <v>11523.3</v>
      </c>
      <c r="P28" t="str">
        <f t="shared" si="2"/>
        <v>Medium</v>
      </c>
      <c r="Q28">
        <f t="shared" si="1"/>
        <v>19.57</v>
      </c>
      <c r="S28" s="15" t="s">
        <v>381</v>
      </c>
      <c r="T28" s="32">
        <v>263623.37000000005</v>
      </c>
      <c r="U28" s="32">
        <v>53733.26999999999</v>
      </c>
    </row>
    <row r="29" spans="1:21">
      <c r="A29" s="25" t="s">
        <v>433</v>
      </c>
      <c r="B29" s="25" t="s">
        <v>403</v>
      </c>
      <c r="C29" s="25" t="s">
        <v>382</v>
      </c>
      <c r="D29" s="25" t="s">
        <v>393</v>
      </c>
      <c r="E29" s="30">
        <v>9958467371</v>
      </c>
      <c r="F29" s="25" t="s">
        <v>384</v>
      </c>
      <c r="G29" s="25" t="s">
        <v>285</v>
      </c>
      <c r="H29" s="25">
        <v>1086.4100000000001</v>
      </c>
      <c r="I29" s="25">
        <v>7</v>
      </c>
      <c r="J29" s="25">
        <v>2066.7600000000002</v>
      </c>
      <c r="K29" s="25" t="s">
        <v>266</v>
      </c>
      <c r="L29" s="25">
        <v>7604.87</v>
      </c>
      <c r="M29" s="26" t="s">
        <v>399</v>
      </c>
      <c r="N29" s="25">
        <v>27.18</v>
      </c>
      <c r="O29">
        <f t="shared" si="0"/>
        <v>7604.8700000000008</v>
      </c>
      <c r="P29" t="str">
        <f t="shared" si="2"/>
        <v>Medium</v>
      </c>
      <c r="Q29">
        <f t="shared" si="1"/>
        <v>27.18</v>
      </c>
      <c r="S29" s="15" t="s">
        <v>226</v>
      </c>
      <c r="T29" s="32">
        <v>1137168.3600000001</v>
      </c>
      <c r="U29" s="32">
        <v>225354.67</v>
      </c>
    </row>
    <row r="30" spans="1:21">
      <c r="A30" s="25" t="s">
        <v>434</v>
      </c>
      <c r="B30" s="25" t="s">
        <v>403</v>
      </c>
      <c r="C30" s="25" t="s">
        <v>382</v>
      </c>
      <c r="D30" s="25" t="s">
        <v>393</v>
      </c>
      <c r="E30" s="30">
        <v>9485913642</v>
      </c>
      <c r="F30" s="25" t="s">
        <v>388</v>
      </c>
      <c r="G30" s="25" t="s">
        <v>323</v>
      </c>
      <c r="H30" s="25">
        <v>1181.07</v>
      </c>
      <c r="I30" s="25">
        <v>13</v>
      </c>
      <c r="J30" s="25">
        <v>3821.07</v>
      </c>
      <c r="K30" s="25" t="s">
        <v>398</v>
      </c>
      <c r="L30" s="25">
        <v>15353.91</v>
      </c>
      <c r="M30" s="26" t="s">
        <v>386</v>
      </c>
      <c r="N30" s="25">
        <v>24.89</v>
      </c>
      <c r="O30">
        <f t="shared" si="0"/>
        <v>15353.91</v>
      </c>
      <c r="P30" t="str">
        <f t="shared" si="2"/>
        <v>High</v>
      </c>
      <c r="Q30">
        <f t="shared" si="1"/>
        <v>24.89</v>
      </c>
    </row>
    <row r="31" spans="1:21">
      <c r="A31" s="25" t="s">
        <v>435</v>
      </c>
      <c r="B31" s="25" t="s">
        <v>403</v>
      </c>
      <c r="C31" s="25" t="s">
        <v>382</v>
      </c>
      <c r="D31" s="25" t="s">
        <v>423</v>
      </c>
      <c r="E31" s="30">
        <v>9942727052</v>
      </c>
      <c r="F31" s="25" t="s">
        <v>388</v>
      </c>
      <c r="G31" s="25" t="s">
        <v>436</v>
      </c>
      <c r="H31" s="25">
        <v>2521.1999999999998</v>
      </c>
      <c r="I31" s="25">
        <v>8</v>
      </c>
      <c r="J31" s="27">
        <v>6046.68</v>
      </c>
      <c r="K31" s="25" t="s">
        <v>266</v>
      </c>
      <c r="L31" s="25">
        <v>20169.599999999999</v>
      </c>
      <c r="M31" s="26" t="s">
        <v>386</v>
      </c>
      <c r="N31" s="25">
        <v>29.98</v>
      </c>
      <c r="O31">
        <f t="shared" si="0"/>
        <v>20169.599999999999</v>
      </c>
      <c r="P31" t="str">
        <f t="shared" si="2"/>
        <v>High</v>
      </c>
      <c r="Q31">
        <f t="shared" si="1"/>
        <v>29.98</v>
      </c>
    </row>
    <row r="32" spans="1:21">
      <c r="A32" s="25" t="s">
        <v>437</v>
      </c>
      <c r="B32" s="25" t="s">
        <v>392</v>
      </c>
      <c r="C32" s="25" t="s">
        <v>382</v>
      </c>
      <c r="D32" s="25" t="s">
        <v>410</v>
      </c>
      <c r="E32" s="30">
        <v>9164209990</v>
      </c>
      <c r="F32" s="25" t="s">
        <v>384</v>
      </c>
      <c r="G32" s="25" t="s">
        <v>278</v>
      </c>
      <c r="H32" s="25">
        <v>1741.71</v>
      </c>
      <c r="I32" s="25">
        <v>15</v>
      </c>
      <c r="J32" s="25">
        <v>4026.14</v>
      </c>
      <c r="K32" s="25" t="s">
        <v>281</v>
      </c>
      <c r="L32" s="25">
        <v>26125.65</v>
      </c>
      <c r="M32" s="26" t="s">
        <v>386</v>
      </c>
      <c r="N32" s="25">
        <v>15.41</v>
      </c>
      <c r="O32">
        <f t="shared" si="0"/>
        <v>26125.65</v>
      </c>
      <c r="P32" t="str">
        <f t="shared" si="2"/>
        <v>High</v>
      </c>
      <c r="Q32">
        <f t="shared" si="1"/>
        <v>15.41</v>
      </c>
    </row>
    <row r="33" spans="1:17">
      <c r="A33" s="25" t="s">
        <v>438</v>
      </c>
      <c r="B33" s="25" t="s">
        <v>392</v>
      </c>
      <c r="C33" s="25" t="s">
        <v>382</v>
      </c>
      <c r="D33" s="25" t="s">
        <v>423</v>
      </c>
      <c r="E33" s="30">
        <v>9972130283</v>
      </c>
      <c r="F33" s="25" t="s">
        <v>388</v>
      </c>
      <c r="G33" s="25" t="s">
        <v>397</v>
      </c>
      <c r="H33" s="25">
        <v>1691.18</v>
      </c>
      <c r="I33" s="25">
        <v>9</v>
      </c>
      <c r="J33" s="25">
        <v>3286.83</v>
      </c>
      <c r="K33" s="25" t="s">
        <v>390</v>
      </c>
      <c r="L33" s="25">
        <v>15220.62</v>
      </c>
      <c r="M33" s="26" t="s">
        <v>386</v>
      </c>
      <c r="N33" s="25">
        <v>21.59</v>
      </c>
      <c r="O33">
        <f t="shared" si="0"/>
        <v>15220.62</v>
      </c>
      <c r="P33" t="str">
        <f t="shared" si="2"/>
        <v>High</v>
      </c>
      <c r="Q33">
        <f t="shared" si="1"/>
        <v>21.59</v>
      </c>
    </row>
    <row r="34" spans="1:17">
      <c r="A34" s="25" t="s">
        <v>439</v>
      </c>
      <c r="B34" s="25" t="s">
        <v>392</v>
      </c>
      <c r="C34" s="25" t="s">
        <v>382</v>
      </c>
      <c r="D34" s="25" t="s">
        <v>423</v>
      </c>
      <c r="E34" s="30">
        <v>9305312346</v>
      </c>
      <c r="F34" s="25" t="s">
        <v>384</v>
      </c>
      <c r="G34" s="25" t="s">
        <v>420</v>
      </c>
      <c r="H34" s="25">
        <v>2430.4899999999998</v>
      </c>
      <c r="I34" s="25">
        <v>1</v>
      </c>
      <c r="J34" s="25">
        <v>538.34</v>
      </c>
      <c r="K34" s="25" t="s">
        <v>421</v>
      </c>
      <c r="L34" s="25">
        <v>2430.4899999999998</v>
      </c>
      <c r="M34" s="26" t="s">
        <v>395</v>
      </c>
      <c r="N34" s="25">
        <v>22.15</v>
      </c>
      <c r="O34">
        <f t="shared" si="0"/>
        <v>2430.4899999999998</v>
      </c>
      <c r="P34" t="str">
        <f t="shared" si="2"/>
        <v>Low</v>
      </c>
      <c r="Q34">
        <f t="shared" si="1"/>
        <v>22.15</v>
      </c>
    </row>
    <row r="35" spans="1:17">
      <c r="A35" s="25" t="s">
        <v>440</v>
      </c>
      <c r="B35" s="25" t="s">
        <v>381</v>
      </c>
      <c r="C35" s="25" t="s">
        <v>382</v>
      </c>
      <c r="D35" s="25" t="s">
        <v>423</v>
      </c>
      <c r="E35" s="30">
        <v>9403336927</v>
      </c>
      <c r="F35" s="25" t="s">
        <v>384</v>
      </c>
      <c r="G35" s="25" t="s">
        <v>285</v>
      </c>
      <c r="H35" s="25">
        <v>1937.5</v>
      </c>
      <c r="I35" s="25">
        <v>10</v>
      </c>
      <c r="J35" s="25">
        <v>2548.08</v>
      </c>
      <c r="K35" s="25" t="s">
        <v>281</v>
      </c>
      <c r="L35" s="25">
        <v>19375</v>
      </c>
      <c r="M35" s="26" t="s">
        <v>386</v>
      </c>
      <c r="N35" s="25">
        <v>13.15</v>
      </c>
      <c r="O35">
        <f t="shared" si="0"/>
        <v>19375</v>
      </c>
      <c r="P35" t="str">
        <f t="shared" si="2"/>
        <v>High</v>
      </c>
      <c r="Q35">
        <f t="shared" si="1"/>
        <v>13.15</v>
      </c>
    </row>
    <row r="36" spans="1:17">
      <c r="A36" s="25" t="s">
        <v>441</v>
      </c>
      <c r="B36" s="25" t="s">
        <v>415</v>
      </c>
      <c r="C36" s="25" t="s">
        <v>382</v>
      </c>
      <c r="D36" s="25" t="s">
        <v>383</v>
      </c>
      <c r="E36" s="30">
        <v>9209432112</v>
      </c>
      <c r="F36" s="25" t="s">
        <v>384</v>
      </c>
      <c r="G36" s="25" t="s">
        <v>394</v>
      </c>
      <c r="H36" s="25">
        <v>2848.61</v>
      </c>
      <c r="I36" s="25">
        <v>15</v>
      </c>
      <c r="J36" s="27">
        <v>6188.69</v>
      </c>
      <c r="K36" s="25" t="s">
        <v>421</v>
      </c>
      <c r="L36" s="25">
        <v>42729.15</v>
      </c>
      <c r="M36" s="26" t="s">
        <v>386</v>
      </c>
      <c r="N36" s="25">
        <v>14.48</v>
      </c>
      <c r="O36">
        <f t="shared" si="0"/>
        <v>42729.15</v>
      </c>
      <c r="P36" t="str">
        <f t="shared" si="2"/>
        <v>High</v>
      </c>
      <c r="Q36">
        <f t="shared" si="1"/>
        <v>14.48</v>
      </c>
    </row>
    <row r="37" spans="1:17">
      <c r="A37" s="25" t="s">
        <v>442</v>
      </c>
      <c r="B37" s="25" t="s">
        <v>415</v>
      </c>
      <c r="C37" s="25" t="s">
        <v>382</v>
      </c>
      <c r="D37" s="25" t="s">
        <v>408</v>
      </c>
      <c r="E37" s="31">
        <v>92886736565</v>
      </c>
      <c r="F37" s="25" t="s">
        <v>388</v>
      </c>
      <c r="G37" s="25" t="s">
        <v>436</v>
      </c>
      <c r="H37" s="25">
        <v>537.01</v>
      </c>
      <c r="I37" s="25">
        <v>15</v>
      </c>
      <c r="J37" s="25">
        <v>848.33</v>
      </c>
      <c r="K37" s="25" t="s">
        <v>421</v>
      </c>
      <c r="L37" s="25">
        <v>8055.15</v>
      </c>
      <c r="M37" s="26" t="s">
        <v>399</v>
      </c>
      <c r="N37" s="25">
        <v>10.53</v>
      </c>
      <c r="O37">
        <f t="shared" si="0"/>
        <v>8055.15</v>
      </c>
      <c r="P37" t="str">
        <f t="shared" si="2"/>
        <v>Medium</v>
      </c>
      <c r="Q37">
        <f t="shared" si="1"/>
        <v>10.53</v>
      </c>
    </row>
    <row r="38" spans="1:17">
      <c r="A38" s="25" t="s">
        <v>443</v>
      </c>
      <c r="B38" s="25" t="s">
        <v>403</v>
      </c>
      <c r="C38" s="25" t="s">
        <v>382</v>
      </c>
      <c r="D38" s="25" t="s">
        <v>383</v>
      </c>
      <c r="E38" s="30">
        <v>9696039067</v>
      </c>
      <c r="F38" s="25" t="s">
        <v>388</v>
      </c>
      <c r="G38" s="25" t="s">
        <v>397</v>
      </c>
      <c r="H38" s="25">
        <v>2052.79</v>
      </c>
      <c r="I38" s="25">
        <v>1</v>
      </c>
      <c r="J38" s="25">
        <v>296.79000000000002</v>
      </c>
      <c r="K38" s="25" t="s">
        <v>390</v>
      </c>
      <c r="L38" s="25">
        <v>2052.79</v>
      </c>
      <c r="M38" s="26" t="s">
        <v>395</v>
      </c>
      <c r="N38" s="25">
        <v>14.46</v>
      </c>
      <c r="O38">
        <f t="shared" si="0"/>
        <v>2052.79</v>
      </c>
      <c r="P38" t="str">
        <f t="shared" si="2"/>
        <v>Low</v>
      </c>
      <c r="Q38">
        <f t="shared" si="1"/>
        <v>14.46</v>
      </c>
    </row>
    <row r="39" spans="1:17">
      <c r="A39" s="25" t="s">
        <v>444</v>
      </c>
      <c r="B39" s="25" t="s">
        <v>403</v>
      </c>
      <c r="C39" s="25" t="s">
        <v>382</v>
      </c>
      <c r="D39" s="25" t="s">
        <v>408</v>
      </c>
      <c r="E39" s="30">
        <v>9729755086</v>
      </c>
      <c r="F39" s="25" t="s">
        <v>384</v>
      </c>
      <c r="G39" s="25" t="s">
        <v>420</v>
      </c>
      <c r="H39" s="25">
        <v>1708.1</v>
      </c>
      <c r="I39" s="25">
        <v>3</v>
      </c>
      <c r="J39" s="25">
        <v>897.22</v>
      </c>
      <c r="K39" s="25" t="s">
        <v>266</v>
      </c>
      <c r="L39" s="25">
        <v>5124.3</v>
      </c>
      <c r="M39" s="26" t="s">
        <v>399</v>
      </c>
      <c r="N39" s="25">
        <v>17.510000000000002</v>
      </c>
      <c r="O39">
        <f t="shared" si="0"/>
        <v>5124.2999999999993</v>
      </c>
      <c r="P39" t="str">
        <f t="shared" si="2"/>
        <v>Low</v>
      </c>
      <c r="Q39">
        <f t="shared" si="1"/>
        <v>17.510000000000002</v>
      </c>
    </row>
    <row r="40" spans="1:17">
      <c r="A40" s="25" t="s">
        <v>445</v>
      </c>
      <c r="B40" s="25" t="s">
        <v>403</v>
      </c>
      <c r="C40" s="25" t="s">
        <v>382</v>
      </c>
      <c r="D40" s="25" t="s">
        <v>423</v>
      </c>
      <c r="E40" s="30">
        <v>9291717779</v>
      </c>
      <c r="F40" s="25" t="s">
        <v>264</v>
      </c>
      <c r="G40" s="25" t="s">
        <v>247</v>
      </c>
      <c r="H40" s="25">
        <v>1616.55</v>
      </c>
      <c r="I40" s="25">
        <v>14</v>
      </c>
      <c r="J40" s="27">
        <v>6621.29</v>
      </c>
      <c r="K40" s="25" t="s">
        <v>266</v>
      </c>
      <c r="L40" s="25">
        <v>22631.7</v>
      </c>
      <c r="M40" s="26" t="s">
        <v>386</v>
      </c>
      <c r="N40" s="25">
        <v>29.26</v>
      </c>
      <c r="O40">
        <f t="shared" si="0"/>
        <v>22631.7</v>
      </c>
      <c r="P40" t="str">
        <f t="shared" si="2"/>
        <v>High</v>
      </c>
      <c r="Q40">
        <f t="shared" si="1"/>
        <v>29.26</v>
      </c>
    </row>
    <row r="41" spans="1:17">
      <c r="A41" s="25" t="s">
        <v>446</v>
      </c>
      <c r="B41" s="25" t="s">
        <v>403</v>
      </c>
      <c r="C41" s="25" t="s">
        <v>382</v>
      </c>
      <c r="D41" s="25" t="s">
        <v>383</v>
      </c>
      <c r="E41" s="30">
        <v>9596984707</v>
      </c>
      <c r="F41" s="25" t="s">
        <v>384</v>
      </c>
      <c r="G41" s="25" t="s">
        <v>278</v>
      </c>
      <c r="H41" s="25">
        <v>1774.62</v>
      </c>
      <c r="I41" s="25">
        <v>7</v>
      </c>
      <c r="J41" s="25">
        <v>3378.16</v>
      </c>
      <c r="K41" s="25" t="s">
        <v>266</v>
      </c>
      <c r="L41" s="25">
        <v>12422.34</v>
      </c>
      <c r="M41" s="26" t="s">
        <v>386</v>
      </c>
      <c r="N41" s="25">
        <v>27.19</v>
      </c>
      <c r="O41">
        <f t="shared" si="0"/>
        <v>12422.34</v>
      </c>
      <c r="P41" t="str">
        <f t="shared" si="2"/>
        <v>Medium</v>
      </c>
      <c r="Q41">
        <f t="shared" si="1"/>
        <v>27.19</v>
      </c>
    </row>
    <row r="42" spans="1:17">
      <c r="A42" s="25" t="s">
        <v>447</v>
      </c>
      <c r="B42" s="25" t="s">
        <v>392</v>
      </c>
      <c r="C42" s="25" t="s">
        <v>382</v>
      </c>
      <c r="D42" s="25" t="s">
        <v>410</v>
      </c>
      <c r="E42" s="30">
        <v>9621477109</v>
      </c>
      <c r="F42" s="25" t="s">
        <v>264</v>
      </c>
      <c r="G42" s="25" t="s">
        <v>287</v>
      </c>
      <c r="H42" s="25">
        <v>644.14</v>
      </c>
      <c r="I42" s="25">
        <v>12</v>
      </c>
      <c r="J42" s="25">
        <v>988.52</v>
      </c>
      <c r="K42" s="25" t="s">
        <v>398</v>
      </c>
      <c r="L42" s="25">
        <v>7729.68</v>
      </c>
      <c r="M42" s="26" t="s">
        <v>399</v>
      </c>
      <c r="N42" s="25">
        <v>12.79</v>
      </c>
      <c r="O42">
        <f t="shared" si="0"/>
        <v>7729.68</v>
      </c>
      <c r="P42" t="str">
        <f t="shared" si="2"/>
        <v>Medium</v>
      </c>
      <c r="Q42">
        <f t="shared" si="1"/>
        <v>12.79</v>
      </c>
    </row>
    <row r="43" spans="1:17">
      <c r="A43" s="25" t="s">
        <v>448</v>
      </c>
      <c r="B43" s="25" t="s">
        <v>392</v>
      </c>
      <c r="C43" s="25" t="s">
        <v>382</v>
      </c>
      <c r="D43" s="25" t="s">
        <v>393</v>
      </c>
      <c r="E43" s="30">
        <v>9813614929</v>
      </c>
      <c r="F43" s="25" t="s">
        <v>388</v>
      </c>
      <c r="G43" s="25" t="s">
        <v>397</v>
      </c>
      <c r="H43" s="25">
        <v>1767.47</v>
      </c>
      <c r="I43" s="25">
        <v>13</v>
      </c>
      <c r="J43" s="25">
        <v>3353.4</v>
      </c>
      <c r="K43" s="25" t="s">
        <v>281</v>
      </c>
      <c r="L43" s="25">
        <v>22977.11</v>
      </c>
      <c r="M43" s="26" t="s">
        <v>386</v>
      </c>
      <c r="N43" s="25">
        <v>14.59</v>
      </c>
      <c r="O43">
        <f t="shared" si="0"/>
        <v>22977.11</v>
      </c>
      <c r="P43" t="str">
        <f t="shared" si="2"/>
        <v>High</v>
      </c>
      <c r="Q43">
        <f t="shared" si="1"/>
        <v>14.59</v>
      </c>
    </row>
    <row r="44" spans="1:17">
      <c r="A44" s="25" t="s">
        <v>449</v>
      </c>
      <c r="B44" s="25" t="s">
        <v>403</v>
      </c>
      <c r="C44" s="25" t="s">
        <v>382</v>
      </c>
      <c r="D44" s="25" t="s">
        <v>404</v>
      </c>
      <c r="E44" s="30">
        <v>9314930259</v>
      </c>
      <c r="F44" s="25" t="s">
        <v>384</v>
      </c>
      <c r="G44" s="25" t="s">
        <v>285</v>
      </c>
      <c r="H44" s="25">
        <v>2506.6</v>
      </c>
      <c r="I44" s="25">
        <v>11</v>
      </c>
      <c r="J44" s="27">
        <v>8011.16</v>
      </c>
      <c r="K44" s="25" t="s">
        <v>281</v>
      </c>
      <c r="L44" s="25">
        <v>27572.6</v>
      </c>
      <c r="M44" s="26" t="s">
        <v>386</v>
      </c>
      <c r="N44" s="25">
        <v>29.05</v>
      </c>
      <c r="O44">
        <f t="shared" si="0"/>
        <v>27572.6</v>
      </c>
      <c r="P44" t="str">
        <f t="shared" si="2"/>
        <v>High</v>
      </c>
      <c r="Q44">
        <f t="shared" si="1"/>
        <v>29.05</v>
      </c>
    </row>
    <row r="45" spans="1:17">
      <c r="A45" s="25" t="s">
        <v>450</v>
      </c>
      <c r="B45" s="25" t="s">
        <v>381</v>
      </c>
      <c r="C45" s="25" t="s">
        <v>382</v>
      </c>
      <c r="D45" s="25" t="s">
        <v>393</v>
      </c>
      <c r="E45" s="31">
        <v>93262535688</v>
      </c>
      <c r="F45" s="25" t="s">
        <v>264</v>
      </c>
      <c r="G45" s="25" t="s">
        <v>319</v>
      </c>
      <c r="H45" s="25">
        <v>727.87</v>
      </c>
      <c r="I45" s="25">
        <v>2</v>
      </c>
      <c r="J45" s="25">
        <v>385.93</v>
      </c>
      <c r="K45" s="25" t="s">
        <v>266</v>
      </c>
      <c r="L45" s="25">
        <v>1455.74</v>
      </c>
      <c r="M45" s="26" t="s">
        <v>395</v>
      </c>
      <c r="N45" s="25">
        <v>26.51</v>
      </c>
      <c r="O45">
        <f t="shared" si="0"/>
        <v>1455.74</v>
      </c>
      <c r="P45" t="str">
        <f t="shared" si="2"/>
        <v>Low</v>
      </c>
      <c r="Q45">
        <f t="shared" si="1"/>
        <v>26.51</v>
      </c>
    </row>
    <row r="46" spans="1:17">
      <c r="A46" s="25" t="s">
        <v>451</v>
      </c>
      <c r="B46" s="25" t="s">
        <v>381</v>
      </c>
      <c r="C46" s="25" t="s">
        <v>382</v>
      </c>
      <c r="D46" s="25" t="s">
        <v>423</v>
      </c>
      <c r="E46" s="30">
        <v>9922473225</v>
      </c>
      <c r="F46" s="25" t="s">
        <v>388</v>
      </c>
      <c r="G46" s="25" t="s">
        <v>397</v>
      </c>
      <c r="H46" s="25">
        <v>2509.39</v>
      </c>
      <c r="I46" s="25">
        <v>4</v>
      </c>
      <c r="J46" s="25">
        <v>2607.48</v>
      </c>
      <c r="K46" s="25" t="s">
        <v>266</v>
      </c>
      <c r="L46" s="25">
        <v>10037.56</v>
      </c>
      <c r="M46" s="26" t="s">
        <v>386</v>
      </c>
      <c r="N46" s="25">
        <v>25.98</v>
      </c>
      <c r="O46">
        <f t="shared" si="0"/>
        <v>10037.56</v>
      </c>
      <c r="P46" t="str">
        <f t="shared" si="2"/>
        <v>Medium</v>
      </c>
      <c r="Q46">
        <f t="shared" si="1"/>
        <v>25.98</v>
      </c>
    </row>
    <row r="47" spans="1:17">
      <c r="A47" s="25" t="s">
        <v>452</v>
      </c>
      <c r="B47" s="25" t="s">
        <v>415</v>
      </c>
      <c r="C47" s="25" t="s">
        <v>382</v>
      </c>
      <c r="D47" s="25" t="s">
        <v>412</v>
      </c>
      <c r="E47" s="30">
        <v>9435049619</v>
      </c>
      <c r="F47" s="25" t="s">
        <v>264</v>
      </c>
      <c r="G47" s="25" t="s">
        <v>239</v>
      </c>
      <c r="H47" s="25">
        <v>254.27</v>
      </c>
      <c r="I47" s="25">
        <v>5</v>
      </c>
      <c r="J47" s="25">
        <v>247.89</v>
      </c>
      <c r="K47" s="25" t="s">
        <v>390</v>
      </c>
      <c r="L47" s="25">
        <v>1271.3499999999999</v>
      </c>
      <c r="M47" s="26" t="s">
        <v>395</v>
      </c>
      <c r="N47" s="25">
        <v>19.5</v>
      </c>
      <c r="O47">
        <f t="shared" si="0"/>
        <v>1271.3500000000001</v>
      </c>
      <c r="P47" t="str">
        <f t="shared" si="2"/>
        <v>Low</v>
      </c>
      <c r="Q47">
        <f t="shared" si="1"/>
        <v>19.5</v>
      </c>
    </row>
    <row r="48" spans="1:17">
      <c r="A48" s="25" t="s">
        <v>453</v>
      </c>
      <c r="B48" s="25" t="s">
        <v>403</v>
      </c>
      <c r="C48" s="25" t="s">
        <v>382</v>
      </c>
      <c r="D48" s="25" t="s">
        <v>423</v>
      </c>
      <c r="E48" s="30">
        <v>9139717689</v>
      </c>
      <c r="F48" s="25" t="s">
        <v>264</v>
      </c>
      <c r="G48" s="25" t="s">
        <v>319</v>
      </c>
      <c r="H48" s="25">
        <v>1104.23</v>
      </c>
      <c r="I48" s="25">
        <v>11</v>
      </c>
      <c r="J48" s="25">
        <v>1883.37</v>
      </c>
      <c r="K48" s="25" t="s">
        <v>266</v>
      </c>
      <c r="L48" s="25">
        <v>12146.53</v>
      </c>
      <c r="M48" s="26" t="s">
        <v>386</v>
      </c>
      <c r="N48" s="25">
        <v>15.51</v>
      </c>
      <c r="O48">
        <f t="shared" si="0"/>
        <v>12146.53</v>
      </c>
      <c r="P48" t="str">
        <f t="shared" si="2"/>
        <v>Medium</v>
      </c>
      <c r="Q48">
        <f t="shared" si="1"/>
        <v>15.51</v>
      </c>
    </row>
    <row r="49" spans="1:17">
      <c r="A49" s="25" t="s">
        <v>454</v>
      </c>
      <c r="B49" s="25" t="s">
        <v>392</v>
      </c>
      <c r="C49" s="25" t="s">
        <v>382</v>
      </c>
      <c r="D49" s="25" t="s">
        <v>393</v>
      </c>
      <c r="E49" s="30">
        <v>9873282041</v>
      </c>
      <c r="F49" s="25" t="s">
        <v>264</v>
      </c>
      <c r="G49" s="25" t="s">
        <v>233</v>
      </c>
      <c r="H49" s="25">
        <v>861.53</v>
      </c>
      <c r="I49" s="25">
        <v>3</v>
      </c>
      <c r="J49" s="25">
        <v>482.01</v>
      </c>
      <c r="K49" s="25" t="s">
        <v>421</v>
      </c>
      <c r="L49" s="25">
        <v>2584.59</v>
      </c>
      <c r="M49" s="26" t="s">
        <v>395</v>
      </c>
      <c r="N49" s="25">
        <v>18.649999999999999</v>
      </c>
      <c r="O49">
        <f t="shared" si="0"/>
        <v>2584.59</v>
      </c>
      <c r="P49" t="str">
        <f t="shared" si="2"/>
        <v>Low</v>
      </c>
      <c r="Q49">
        <f t="shared" si="1"/>
        <v>18.649999999999999</v>
      </c>
    </row>
    <row r="50" spans="1:17">
      <c r="A50" s="25" t="s">
        <v>455</v>
      </c>
      <c r="B50" s="25" t="s">
        <v>415</v>
      </c>
      <c r="C50" s="25" t="s">
        <v>382</v>
      </c>
      <c r="D50" s="25" t="s">
        <v>393</v>
      </c>
      <c r="E50" s="30">
        <v>9520705759</v>
      </c>
      <c r="F50" s="25" t="s">
        <v>384</v>
      </c>
      <c r="G50" s="25" t="s">
        <v>394</v>
      </c>
      <c r="H50" s="25">
        <v>940.76</v>
      </c>
      <c r="I50" s="25">
        <v>4</v>
      </c>
      <c r="J50" s="25">
        <v>842.47</v>
      </c>
      <c r="K50" s="25" t="s">
        <v>421</v>
      </c>
      <c r="L50" s="25">
        <v>3763.04</v>
      </c>
      <c r="M50" s="26" t="s">
        <v>395</v>
      </c>
      <c r="N50" s="25">
        <v>22.39</v>
      </c>
      <c r="O50">
        <f t="shared" si="0"/>
        <v>3763.04</v>
      </c>
      <c r="P50" t="str">
        <f t="shared" si="2"/>
        <v>Low</v>
      </c>
      <c r="Q50">
        <f t="shared" si="1"/>
        <v>22.39</v>
      </c>
    </row>
    <row r="51" spans="1:17">
      <c r="A51" s="25" t="s">
        <v>456</v>
      </c>
      <c r="B51" s="25" t="s">
        <v>403</v>
      </c>
      <c r="C51" s="25" t="s">
        <v>382</v>
      </c>
      <c r="D51" s="25" t="s">
        <v>393</v>
      </c>
      <c r="E51" s="30">
        <v>9648648568</v>
      </c>
      <c r="F51" s="25" t="s">
        <v>384</v>
      </c>
      <c r="G51" s="25" t="s">
        <v>394</v>
      </c>
      <c r="H51" s="25">
        <v>1505.5</v>
      </c>
      <c r="I51" s="25">
        <v>11</v>
      </c>
      <c r="J51" s="25">
        <v>3985.19</v>
      </c>
      <c r="K51" s="25" t="s">
        <v>421</v>
      </c>
      <c r="L51" s="25">
        <v>16560.5</v>
      </c>
      <c r="M51" s="26" t="s">
        <v>386</v>
      </c>
      <c r="N51" s="25">
        <v>24.06</v>
      </c>
      <c r="O51">
        <f t="shared" si="0"/>
        <v>16560.5</v>
      </c>
      <c r="P51" t="str">
        <f t="shared" si="2"/>
        <v>High</v>
      </c>
      <c r="Q51">
        <f t="shared" si="1"/>
        <v>24.06</v>
      </c>
    </row>
    <row r="52" spans="1:17">
      <c r="A52" s="25" t="s">
        <v>457</v>
      </c>
      <c r="B52" s="25" t="s">
        <v>381</v>
      </c>
      <c r="C52" s="25" t="s">
        <v>382</v>
      </c>
      <c r="D52" s="25" t="s">
        <v>423</v>
      </c>
      <c r="E52" s="30">
        <v>9416435713</v>
      </c>
      <c r="F52" s="25" t="s">
        <v>384</v>
      </c>
      <c r="G52" s="25" t="s">
        <v>278</v>
      </c>
      <c r="H52" s="25">
        <v>1477.49</v>
      </c>
      <c r="I52" s="25">
        <v>11</v>
      </c>
      <c r="J52" s="25">
        <v>2428.98</v>
      </c>
      <c r="K52" s="25" t="s">
        <v>266</v>
      </c>
      <c r="L52" s="25">
        <v>16252.39</v>
      </c>
      <c r="M52" s="26" t="s">
        <v>386</v>
      </c>
      <c r="N52" s="25">
        <v>14.95</v>
      </c>
      <c r="O52">
        <f t="shared" si="0"/>
        <v>16252.39</v>
      </c>
      <c r="P52" t="str">
        <f t="shared" si="2"/>
        <v>High</v>
      </c>
      <c r="Q52">
        <f t="shared" si="1"/>
        <v>14.95</v>
      </c>
    </row>
    <row r="53" spans="1:17">
      <c r="A53" s="25" t="s">
        <v>458</v>
      </c>
      <c r="B53" s="25" t="s">
        <v>403</v>
      </c>
      <c r="C53" s="25" t="s">
        <v>382</v>
      </c>
      <c r="D53" s="25" t="s">
        <v>412</v>
      </c>
      <c r="E53" s="30">
        <v>9211381294</v>
      </c>
      <c r="F53" s="25" t="s">
        <v>388</v>
      </c>
      <c r="G53" s="25" t="s">
        <v>406</v>
      </c>
      <c r="H53" s="25">
        <v>704.64</v>
      </c>
      <c r="I53" s="25">
        <v>2</v>
      </c>
      <c r="J53" s="25">
        <v>163.57</v>
      </c>
      <c r="K53" s="25" t="s">
        <v>281</v>
      </c>
      <c r="L53" s="25">
        <v>1409.28</v>
      </c>
      <c r="M53" s="26" t="s">
        <v>395</v>
      </c>
      <c r="N53" s="25">
        <v>11.61</v>
      </c>
      <c r="O53">
        <f t="shared" si="0"/>
        <v>1409.28</v>
      </c>
      <c r="P53" t="str">
        <f t="shared" si="2"/>
        <v>Low</v>
      </c>
      <c r="Q53">
        <f t="shared" si="1"/>
        <v>11.61</v>
      </c>
    </row>
    <row r="54" spans="1:17">
      <c r="A54" s="25" t="s">
        <v>459</v>
      </c>
      <c r="B54" s="25" t="s">
        <v>415</v>
      </c>
      <c r="C54" s="25" t="s">
        <v>382</v>
      </c>
      <c r="D54" s="25" t="s">
        <v>393</v>
      </c>
      <c r="E54" s="30">
        <v>9791244114</v>
      </c>
      <c r="F54" s="25" t="s">
        <v>388</v>
      </c>
      <c r="G54" s="25" t="s">
        <v>436</v>
      </c>
      <c r="H54" s="25">
        <v>2030.2</v>
      </c>
      <c r="I54" s="25">
        <v>13</v>
      </c>
      <c r="J54" s="25">
        <v>3695.03</v>
      </c>
      <c r="K54" s="25" t="s">
        <v>390</v>
      </c>
      <c r="L54" s="25">
        <v>26392.6</v>
      </c>
      <c r="M54" s="26" t="s">
        <v>386</v>
      </c>
      <c r="N54" s="25">
        <v>14</v>
      </c>
      <c r="O54">
        <f t="shared" si="0"/>
        <v>26392.600000000002</v>
      </c>
      <c r="P54" t="str">
        <f t="shared" si="2"/>
        <v>High</v>
      </c>
      <c r="Q54">
        <f t="shared" si="1"/>
        <v>14</v>
      </c>
    </row>
    <row r="55" spans="1:17">
      <c r="A55" s="25" t="s">
        <v>460</v>
      </c>
      <c r="B55" s="25" t="s">
        <v>381</v>
      </c>
      <c r="C55" s="25" t="s">
        <v>382</v>
      </c>
      <c r="D55" s="25" t="s">
        <v>412</v>
      </c>
      <c r="E55" s="30">
        <v>9194670146</v>
      </c>
      <c r="F55" s="25" t="s">
        <v>384</v>
      </c>
      <c r="G55" s="25" t="s">
        <v>385</v>
      </c>
      <c r="H55" s="25">
        <v>1822.28</v>
      </c>
      <c r="I55" s="25">
        <v>4</v>
      </c>
      <c r="J55" s="25">
        <v>1973.2</v>
      </c>
      <c r="K55" s="25" t="s">
        <v>398</v>
      </c>
      <c r="L55" s="25">
        <v>7289.12</v>
      </c>
      <c r="M55" s="26" t="s">
        <v>399</v>
      </c>
      <c r="N55" s="25">
        <v>27.07</v>
      </c>
      <c r="O55">
        <f t="shared" si="0"/>
        <v>7289.12</v>
      </c>
      <c r="P55" t="str">
        <f t="shared" si="2"/>
        <v>Medium</v>
      </c>
      <c r="Q55">
        <f t="shared" si="1"/>
        <v>27.07</v>
      </c>
    </row>
    <row r="56" spans="1:17">
      <c r="A56" s="25" t="s">
        <v>461</v>
      </c>
      <c r="B56" s="25" t="s">
        <v>415</v>
      </c>
      <c r="C56" s="25" t="s">
        <v>382</v>
      </c>
      <c r="D56" s="25" t="s">
        <v>408</v>
      </c>
      <c r="E56" s="30">
        <v>9519275644</v>
      </c>
      <c r="F56" s="25" t="s">
        <v>388</v>
      </c>
      <c r="G56" s="25" t="s">
        <v>397</v>
      </c>
      <c r="H56" s="25">
        <v>600.17999999999995</v>
      </c>
      <c r="I56" s="25">
        <v>11</v>
      </c>
      <c r="J56" s="25">
        <v>1525.57</v>
      </c>
      <c r="K56" s="25" t="s">
        <v>266</v>
      </c>
      <c r="L56" s="25">
        <v>6601.98</v>
      </c>
      <c r="M56" s="26" t="s">
        <v>399</v>
      </c>
      <c r="N56" s="25">
        <v>23.11</v>
      </c>
      <c r="O56">
        <f t="shared" si="0"/>
        <v>6601.98</v>
      </c>
      <c r="P56" t="str">
        <f t="shared" si="2"/>
        <v>Low</v>
      </c>
      <c r="Q56">
        <f t="shared" si="1"/>
        <v>23.11</v>
      </c>
    </row>
    <row r="57" spans="1:17">
      <c r="A57" s="25" t="s">
        <v>462</v>
      </c>
      <c r="B57" s="25" t="s">
        <v>392</v>
      </c>
      <c r="C57" s="25" t="s">
        <v>382</v>
      </c>
      <c r="D57" s="25" t="s">
        <v>408</v>
      </c>
      <c r="E57" s="30">
        <v>9520013561</v>
      </c>
      <c r="F57" s="25" t="s">
        <v>384</v>
      </c>
      <c r="G57" s="25" t="s">
        <v>394</v>
      </c>
      <c r="H57" s="25">
        <v>2330.36</v>
      </c>
      <c r="I57" s="25">
        <v>7</v>
      </c>
      <c r="J57" s="25">
        <v>3532.26</v>
      </c>
      <c r="K57" s="25" t="s">
        <v>421</v>
      </c>
      <c r="L57" s="25">
        <v>16312.52</v>
      </c>
      <c r="M57" s="26" t="s">
        <v>386</v>
      </c>
      <c r="N57" s="25">
        <v>21.65</v>
      </c>
      <c r="O57">
        <f t="shared" si="0"/>
        <v>16312.52</v>
      </c>
      <c r="P57" t="str">
        <f t="shared" si="2"/>
        <v>High</v>
      </c>
      <c r="Q57">
        <f t="shared" si="1"/>
        <v>21.65</v>
      </c>
    </row>
    <row r="58" spans="1:17">
      <c r="A58" s="25" t="s">
        <v>463</v>
      </c>
      <c r="B58" s="25" t="s">
        <v>415</v>
      </c>
      <c r="C58" s="25" t="s">
        <v>382</v>
      </c>
      <c r="D58" s="25" t="s">
        <v>410</v>
      </c>
      <c r="E58" s="31">
        <v>95989895092</v>
      </c>
      <c r="F58" s="25" t="s">
        <v>264</v>
      </c>
      <c r="G58" s="25" t="s">
        <v>247</v>
      </c>
      <c r="H58" s="25">
        <v>1084.67</v>
      </c>
      <c r="I58" s="25">
        <v>13</v>
      </c>
      <c r="J58" s="25">
        <v>4140.1400000000003</v>
      </c>
      <c r="K58" s="25" t="s">
        <v>398</v>
      </c>
      <c r="L58" s="25">
        <v>14100.71</v>
      </c>
      <c r="M58" s="26" t="s">
        <v>386</v>
      </c>
      <c r="N58" s="25">
        <v>29.36</v>
      </c>
      <c r="O58">
        <f t="shared" si="0"/>
        <v>14100.710000000001</v>
      </c>
      <c r="P58" t="str">
        <f t="shared" si="2"/>
        <v>Medium</v>
      </c>
      <c r="Q58">
        <f t="shared" si="1"/>
        <v>29.36</v>
      </c>
    </row>
    <row r="59" spans="1:17">
      <c r="A59" s="25" t="s">
        <v>464</v>
      </c>
      <c r="B59" s="25" t="s">
        <v>403</v>
      </c>
      <c r="C59" s="25" t="s">
        <v>382</v>
      </c>
      <c r="D59" s="25" t="s">
        <v>423</v>
      </c>
      <c r="E59" s="30">
        <v>9499862542</v>
      </c>
      <c r="F59" s="25" t="s">
        <v>388</v>
      </c>
      <c r="G59" s="25" t="s">
        <v>436</v>
      </c>
      <c r="H59" s="25">
        <v>1893.55</v>
      </c>
      <c r="I59" s="25">
        <v>12</v>
      </c>
      <c r="J59" s="25">
        <v>3204.64</v>
      </c>
      <c r="K59" s="25" t="s">
        <v>390</v>
      </c>
      <c r="L59" s="25">
        <v>22722.6</v>
      </c>
      <c r="M59" s="26" t="s">
        <v>386</v>
      </c>
      <c r="N59" s="25">
        <v>14.1</v>
      </c>
      <c r="O59">
        <f t="shared" si="0"/>
        <v>22722.6</v>
      </c>
      <c r="P59" t="str">
        <f t="shared" si="2"/>
        <v>High</v>
      </c>
      <c r="Q59">
        <f t="shared" si="1"/>
        <v>14.1</v>
      </c>
    </row>
    <row r="60" spans="1:17">
      <c r="A60" s="25" t="s">
        <v>465</v>
      </c>
      <c r="B60" s="25" t="s">
        <v>415</v>
      </c>
      <c r="C60" s="25" t="s">
        <v>382</v>
      </c>
      <c r="D60" s="25" t="s">
        <v>410</v>
      </c>
      <c r="E60" s="30">
        <v>9724136290</v>
      </c>
      <c r="F60" s="25" t="s">
        <v>388</v>
      </c>
      <c r="G60" s="25" t="s">
        <v>406</v>
      </c>
      <c r="H60" s="25">
        <v>1747.22</v>
      </c>
      <c r="I60" s="25">
        <v>6</v>
      </c>
      <c r="J60" s="25">
        <v>2678.22</v>
      </c>
      <c r="K60" s="25" t="s">
        <v>398</v>
      </c>
      <c r="L60" s="25">
        <v>10483.32</v>
      </c>
      <c r="M60" s="26" t="s">
        <v>386</v>
      </c>
      <c r="N60" s="25">
        <v>25.55</v>
      </c>
      <c r="O60">
        <f t="shared" si="0"/>
        <v>10483.32</v>
      </c>
      <c r="P60" t="str">
        <f t="shared" si="2"/>
        <v>Medium</v>
      </c>
      <c r="Q60">
        <f t="shared" si="1"/>
        <v>25.55</v>
      </c>
    </row>
    <row r="61" spans="1:17">
      <c r="A61" s="25" t="s">
        <v>466</v>
      </c>
      <c r="B61" s="25" t="s">
        <v>403</v>
      </c>
      <c r="C61" s="25" t="s">
        <v>382</v>
      </c>
      <c r="D61" s="25" t="s">
        <v>410</v>
      </c>
      <c r="E61" s="30">
        <v>9321909198</v>
      </c>
      <c r="F61" s="25" t="s">
        <v>388</v>
      </c>
      <c r="G61" s="25" t="s">
        <v>323</v>
      </c>
      <c r="H61" s="25">
        <v>287.31</v>
      </c>
      <c r="I61" s="25">
        <v>8</v>
      </c>
      <c r="J61" s="25">
        <v>381.56</v>
      </c>
      <c r="K61" s="25" t="s">
        <v>421</v>
      </c>
      <c r="L61" s="25">
        <v>2298.48</v>
      </c>
      <c r="M61" s="26" t="s">
        <v>395</v>
      </c>
      <c r="N61" s="25">
        <v>16.600000000000001</v>
      </c>
      <c r="O61">
        <f t="shared" si="0"/>
        <v>2298.48</v>
      </c>
      <c r="P61" t="str">
        <f t="shared" si="2"/>
        <v>Low</v>
      </c>
      <c r="Q61">
        <f t="shared" si="1"/>
        <v>16.600000000000001</v>
      </c>
    </row>
    <row r="62" spans="1:17">
      <c r="A62" s="25" t="s">
        <v>467</v>
      </c>
      <c r="B62" s="25" t="s">
        <v>415</v>
      </c>
      <c r="C62" s="25" t="s">
        <v>382</v>
      </c>
      <c r="D62" s="25" t="s">
        <v>408</v>
      </c>
      <c r="E62" s="30">
        <v>9760693305</v>
      </c>
      <c r="F62" s="25" t="s">
        <v>384</v>
      </c>
      <c r="G62" s="25" t="s">
        <v>385</v>
      </c>
      <c r="H62" s="25">
        <v>1700.05</v>
      </c>
      <c r="I62" s="25">
        <v>2</v>
      </c>
      <c r="J62" s="25">
        <v>383.92</v>
      </c>
      <c r="K62" s="25" t="s">
        <v>281</v>
      </c>
      <c r="L62" s="25">
        <v>3400.1</v>
      </c>
      <c r="M62" s="26" t="s">
        <v>395</v>
      </c>
      <c r="N62" s="25">
        <v>11.29</v>
      </c>
      <c r="O62">
        <f t="shared" si="0"/>
        <v>3400.1</v>
      </c>
      <c r="P62" t="str">
        <f t="shared" si="2"/>
        <v>Low</v>
      </c>
      <c r="Q62">
        <f t="shared" si="1"/>
        <v>11.29</v>
      </c>
    </row>
    <row r="63" spans="1:17">
      <c r="A63" s="25" t="s">
        <v>468</v>
      </c>
      <c r="B63" s="25" t="s">
        <v>403</v>
      </c>
      <c r="C63" s="25" t="s">
        <v>382</v>
      </c>
      <c r="D63" s="25" t="s">
        <v>410</v>
      </c>
      <c r="E63" s="30">
        <v>9658575570</v>
      </c>
      <c r="F63" s="25" t="s">
        <v>388</v>
      </c>
      <c r="G63" s="25" t="s">
        <v>323</v>
      </c>
      <c r="H63" s="25">
        <v>1180.31</v>
      </c>
      <c r="I63" s="25">
        <v>7</v>
      </c>
      <c r="J63" s="25">
        <v>847.73</v>
      </c>
      <c r="K63" s="25" t="s">
        <v>281</v>
      </c>
      <c r="L63" s="25">
        <v>8262.17</v>
      </c>
      <c r="M63" s="26" t="s">
        <v>399</v>
      </c>
      <c r="N63" s="25">
        <v>10.26</v>
      </c>
      <c r="O63">
        <f t="shared" si="0"/>
        <v>8262.17</v>
      </c>
      <c r="P63" t="str">
        <f t="shared" si="2"/>
        <v>Medium</v>
      </c>
      <c r="Q63">
        <f t="shared" si="1"/>
        <v>10.26</v>
      </c>
    </row>
    <row r="64" spans="1:17">
      <c r="A64" s="25" t="s">
        <v>469</v>
      </c>
      <c r="B64" s="25" t="s">
        <v>392</v>
      </c>
      <c r="C64" s="25" t="s">
        <v>382</v>
      </c>
      <c r="D64" s="25" t="s">
        <v>410</v>
      </c>
      <c r="E64" s="30">
        <v>9950273824</v>
      </c>
      <c r="F64" s="25" t="s">
        <v>388</v>
      </c>
      <c r="G64" s="25" t="s">
        <v>436</v>
      </c>
      <c r="H64" s="25">
        <v>653.35</v>
      </c>
      <c r="I64" s="25">
        <v>4</v>
      </c>
      <c r="J64" s="25">
        <v>345.46</v>
      </c>
      <c r="K64" s="25" t="s">
        <v>266</v>
      </c>
      <c r="L64" s="25">
        <v>2613.4</v>
      </c>
      <c r="M64" s="26" t="s">
        <v>395</v>
      </c>
      <c r="N64" s="25">
        <v>13.22</v>
      </c>
      <c r="O64">
        <f t="shared" si="0"/>
        <v>2613.4</v>
      </c>
      <c r="P64" t="str">
        <f t="shared" si="2"/>
        <v>Low</v>
      </c>
      <c r="Q64">
        <f t="shared" si="1"/>
        <v>13.22</v>
      </c>
    </row>
    <row r="65" spans="1:17">
      <c r="A65" s="25" t="s">
        <v>470</v>
      </c>
      <c r="B65" s="25" t="s">
        <v>392</v>
      </c>
      <c r="C65" s="25" t="s">
        <v>382</v>
      </c>
      <c r="D65" s="25" t="s">
        <v>404</v>
      </c>
      <c r="E65" s="30">
        <v>9898816813</v>
      </c>
      <c r="F65" s="25" t="s">
        <v>264</v>
      </c>
      <c r="G65" s="25" t="s">
        <v>233</v>
      </c>
      <c r="H65" s="25">
        <v>1881.74</v>
      </c>
      <c r="I65" s="25">
        <v>4</v>
      </c>
      <c r="J65" s="25">
        <v>1363.83</v>
      </c>
      <c r="K65" s="25" t="s">
        <v>421</v>
      </c>
      <c r="L65" s="25">
        <v>7526.96</v>
      </c>
      <c r="M65" s="26" t="s">
        <v>399</v>
      </c>
      <c r="N65" s="25">
        <v>18.12</v>
      </c>
      <c r="O65">
        <f t="shared" si="0"/>
        <v>7526.96</v>
      </c>
      <c r="P65" t="str">
        <f t="shared" si="2"/>
        <v>Medium</v>
      </c>
      <c r="Q65">
        <f t="shared" si="1"/>
        <v>18.12</v>
      </c>
    </row>
    <row r="66" spans="1:17">
      <c r="A66" s="25" t="s">
        <v>471</v>
      </c>
      <c r="B66" s="25" t="s">
        <v>415</v>
      </c>
      <c r="C66" s="25" t="s">
        <v>382</v>
      </c>
      <c r="D66" s="25" t="s">
        <v>412</v>
      </c>
      <c r="E66" s="30">
        <v>9571594565</v>
      </c>
      <c r="F66" s="25" t="s">
        <v>388</v>
      </c>
      <c r="G66" s="25" t="s">
        <v>389</v>
      </c>
      <c r="H66" s="25">
        <v>1206.3499999999999</v>
      </c>
      <c r="I66" s="25">
        <v>15</v>
      </c>
      <c r="J66" s="25">
        <v>2801.82</v>
      </c>
      <c r="K66" s="25" t="s">
        <v>281</v>
      </c>
      <c r="L66" s="25">
        <v>18095.25</v>
      </c>
      <c r="M66" s="26" t="s">
        <v>386</v>
      </c>
      <c r="N66" s="25">
        <v>15.48</v>
      </c>
      <c r="O66">
        <f t="shared" si="0"/>
        <v>18095.25</v>
      </c>
      <c r="P66" t="str">
        <f t="shared" si="2"/>
        <v>High</v>
      </c>
      <c r="Q66">
        <f t="shared" si="1"/>
        <v>15.48</v>
      </c>
    </row>
    <row r="67" spans="1:17">
      <c r="A67" s="25" t="s">
        <v>472</v>
      </c>
      <c r="B67" s="25" t="s">
        <v>392</v>
      </c>
      <c r="C67" s="25" t="s">
        <v>382</v>
      </c>
      <c r="D67" s="25" t="s">
        <v>408</v>
      </c>
      <c r="E67" s="30">
        <v>9684352160</v>
      </c>
      <c r="F67" s="25" t="s">
        <v>384</v>
      </c>
      <c r="G67" s="25" t="s">
        <v>420</v>
      </c>
      <c r="H67" s="25">
        <v>1849.95</v>
      </c>
      <c r="I67" s="25">
        <v>5</v>
      </c>
      <c r="J67" s="25">
        <v>2111.02</v>
      </c>
      <c r="K67" s="25" t="s">
        <v>421</v>
      </c>
      <c r="L67" s="25">
        <v>9249.75</v>
      </c>
      <c r="M67" s="26" t="s">
        <v>399</v>
      </c>
      <c r="N67" s="25">
        <v>22.82</v>
      </c>
      <c r="O67">
        <f t="shared" ref="O67:O101" si="3">H67*I67</f>
        <v>9249.75</v>
      </c>
      <c r="P67" t="str">
        <f t="shared" si="2"/>
        <v>Medium</v>
      </c>
      <c r="Q67">
        <f t="shared" ref="Q67:Q101" si="4">ROUND((J67/L67)*100,2)</f>
        <v>22.82</v>
      </c>
    </row>
    <row r="68" spans="1:17">
      <c r="A68" s="25" t="s">
        <v>473</v>
      </c>
      <c r="B68" s="25" t="s">
        <v>381</v>
      </c>
      <c r="C68" s="25" t="s">
        <v>382</v>
      </c>
      <c r="D68" s="25" t="s">
        <v>393</v>
      </c>
      <c r="E68" s="30">
        <v>9845713875</v>
      </c>
      <c r="F68" s="25" t="s">
        <v>264</v>
      </c>
      <c r="G68" s="25" t="s">
        <v>319</v>
      </c>
      <c r="H68" s="25">
        <v>1896.1</v>
      </c>
      <c r="I68" s="25">
        <v>5</v>
      </c>
      <c r="J68" s="25">
        <v>2676.46</v>
      </c>
      <c r="K68" s="25" t="s">
        <v>421</v>
      </c>
      <c r="L68" s="25">
        <v>9480.5</v>
      </c>
      <c r="M68" s="26" t="s">
        <v>399</v>
      </c>
      <c r="N68" s="25">
        <v>28.23</v>
      </c>
      <c r="O68">
        <f t="shared" si="3"/>
        <v>9480.5</v>
      </c>
      <c r="P68" t="str">
        <f t="shared" ref="P68:P101" si="5">IF(O68&gt;=15000,"High",IF(O68&gt;=7000,"Medium","Low"))</f>
        <v>Medium</v>
      </c>
      <c r="Q68">
        <f t="shared" si="4"/>
        <v>28.23</v>
      </c>
    </row>
    <row r="69" spans="1:17">
      <c r="A69" s="25" t="s">
        <v>474</v>
      </c>
      <c r="B69" s="25" t="s">
        <v>392</v>
      </c>
      <c r="C69" s="25" t="s">
        <v>382</v>
      </c>
      <c r="D69" s="25" t="s">
        <v>404</v>
      </c>
      <c r="E69" s="31">
        <v>85</v>
      </c>
      <c r="F69" s="25" t="s">
        <v>388</v>
      </c>
      <c r="G69" s="25" t="s">
        <v>323</v>
      </c>
      <c r="H69" s="25">
        <v>1799.6</v>
      </c>
      <c r="I69" s="25">
        <v>6</v>
      </c>
      <c r="J69" s="25">
        <v>1551.79</v>
      </c>
      <c r="K69" s="25" t="s">
        <v>398</v>
      </c>
      <c r="L69" s="25">
        <v>10797.6</v>
      </c>
      <c r="M69" s="26" t="s">
        <v>386</v>
      </c>
      <c r="N69" s="25">
        <v>14.37</v>
      </c>
      <c r="O69">
        <f t="shared" si="3"/>
        <v>10797.599999999999</v>
      </c>
      <c r="P69" t="str">
        <f t="shared" si="5"/>
        <v>Medium</v>
      </c>
      <c r="Q69">
        <f t="shared" si="4"/>
        <v>14.37</v>
      </c>
    </row>
    <row r="70" spans="1:17">
      <c r="A70" s="25" t="s">
        <v>475</v>
      </c>
      <c r="B70" s="25" t="s">
        <v>415</v>
      </c>
      <c r="C70" s="25" t="s">
        <v>382</v>
      </c>
      <c r="D70" s="25" t="s">
        <v>383</v>
      </c>
      <c r="E70" s="30">
        <v>9304184751</v>
      </c>
      <c r="F70" s="25" t="s">
        <v>388</v>
      </c>
      <c r="G70" s="25" t="s">
        <v>436</v>
      </c>
      <c r="H70" s="25">
        <v>1330.26</v>
      </c>
      <c r="I70" s="25">
        <v>2</v>
      </c>
      <c r="J70" s="25">
        <v>669.54</v>
      </c>
      <c r="K70" s="25" t="s">
        <v>266</v>
      </c>
      <c r="L70" s="25">
        <v>2660.52</v>
      </c>
      <c r="M70" s="26" t="s">
        <v>395</v>
      </c>
      <c r="N70" s="25">
        <v>25.17</v>
      </c>
      <c r="O70">
        <f t="shared" si="3"/>
        <v>2660.52</v>
      </c>
      <c r="P70" t="str">
        <f t="shared" si="5"/>
        <v>Low</v>
      </c>
      <c r="Q70">
        <f t="shared" si="4"/>
        <v>25.17</v>
      </c>
    </row>
    <row r="71" spans="1:17">
      <c r="A71" s="25" t="s">
        <v>476</v>
      </c>
      <c r="B71" s="25" t="s">
        <v>415</v>
      </c>
      <c r="C71" s="25" t="s">
        <v>382</v>
      </c>
      <c r="D71" s="25" t="s">
        <v>412</v>
      </c>
      <c r="E71" s="30">
        <v>9141039856</v>
      </c>
      <c r="F71" s="25" t="s">
        <v>264</v>
      </c>
      <c r="G71" s="25" t="s">
        <v>287</v>
      </c>
      <c r="H71" s="25">
        <v>322.57</v>
      </c>
      <c r="I71" s="25">
        <v>13</v>
      </c>
      <c r="J71" s="25">
        <v>684.45</v>
      </c>
      <c r="K71" s="25" t="s">
        <v>421</v>
      </c>
      <c r="L71" s="25">
        <v>4193.41</v>
      </c>
      <c r="M71" s="26" t="s">
        <v>395</v>
      </c>
      <c r="N71" s="25">
        <v>16.32</v>
      </c>
      <c r="O71">
        <f t="shared" si="3"/>
        <v>4193.41</v>
      </c>
      <c r="P71" t="str">
        <f t="shared" si="5"/>
        <v>Low</v>
      </c>
      <c r="Q71">
        <f t="shared" si="4"/>
        <v>16.32</v>
      </c>
    </row>
    <row r="72" spans="1:17">
      <c r="A72" s="25" t="s">
        <v>477</v>
      </c>
      <c r="B72" s="25" t="s">
        <v>403</v>
      </c>
      <c r="C72" s="25" t="s">
        <v>382</v>
      </c>
      <c r="D72" s="25" t="s">
        <v>404</v>
      </c>
      <c r="E72" s="30">
        <v>9640589740</v>
      </c>
      <c r="F72" s="25" t="s">
        <v>264</v>
      </c>
      <c r="G72" s="25" t="s">
        <v>319</v>
      </c>
      <c r="H72" s="25">
        <v>1510.41</v>
      </c>
      <c r="I72" s="25">
        <v>1</v>
      </c>
      <c r="J72" s="25">
        <v>434.79</v>
      </c>
      <c r="K72" s="25" t="s">
        <v>390</v>
      </c>
      <c r="L72" s="25">
        <v>1510.41</v>
      </c>
      <c r="M72" s="26" t="s">
        <v>395</v>
      </c>
      <c r="N72" s="25">
        <v>28.79</v>
      </c>
      <c r="O72">
        <f t="shared" si="3"/>
        <v>1510.41</v>
      </c>
      <c r="P72" t="str">
        <f t="shared" si="5"/>
        <v>Low</v>
      </c>
      <c r="Q72">
        <f t="shared" si="4"/>
        <v>28.79</v>
      </c>
    </row>
    <row r="73" spans="1:17">
      <c r="A73" s="25" t="s">
        <v>478</v>
      </c>
      <c r="B73" s="25" t="s">
        <v>392</v>
      </c>
      <c r="C73" s="25" t="s">
        <v>382</v>
      </c>
      <c r="D73" s="25" t="s">
        <v>383</v>
      </c>
      <c r="E73" s="30">
        <v>9406517796</v>
      </c>
      <c r="F73" s="25" t="s">
        <v>384</v>
      </c>
      <c r="G73" s="25" t="s">
        <v>285</v>
      </c>
      <c r="H73" s="25">
        <v>1085.52</v>
      </c>
      <c r="I73" s="25">
        <v>4</v>
      </c>
      <c r="J73" s="25">
        <v>749.57</v>
      </c>
      <c r="K73" s="25" t="s">
        <v>266</v>
      </c>
      <c r="L73" s="25">
        <v>4342.08</v>
      </c>
      <c r="M73" s="26" t="s">
        <v>395</v>
      </c>
      <c r="N73" s="25">
        <v>17.260000000000002</v>
      </c>
      <c r="O73">
        <f t="shared" si="3"/>
        <v>4342.08</v>
      </c>
      <c r="P73" t="str">
        <f t="shared" si="5"/>
        <v>Low</v>
      </c>
      <c r="Q73">
        <f t="shared" si="4"/>
        <v>17.260000000000002</v>
      </c>
    </row>
    <row r="74" spans="1:17">
      <c r="A74" s="25" t="s">
        <v>479</v>
      </c>
      <c r="B74" s="25" t="s">
        <v>392</v>
      </c>
      <c r="C74" s="25" t="s">
        <v>382</v>
      </c>
      <c r="D74" s="25" t="s">
        <v>408</v>
      </c>
      <c r="E74" s="30">
        <v>9606169051</v>
      </c>
      <c r="F74" s="25" t="s">
        <v>388</v>
      </c>
      <c r="G74" s="25" t="s">
        <v>389</v>
      </c>
      <c r="H74" s="25">
        <v>1441.79</v>
      </c>
      <c r="I74" s="25">
        <v>14</v>
      </c>
      <c r="J74" s="25">
        <v>3929.03</v>
      </c>
      <c r="K74" s="25" t="s">
        <v>421</v>
      </c>
      <c r="L74" s="25">
        <v>20185.060000000001</v>
      </c>
      <c r="M74" s="26" t="s">
        <v>386</v>
      </c>
      <c r="N74" s="25">
        <v>19.47</v>
      </c>
      <c r="O74">
        <f t="shared" si="3"/>
        <v>20185.059999999998</v>
      </c>
      <c r="P74" t="str">
        <f t="shared" si="5"/>
        <v>High</v>
      </c>
      <c r="Q74">
        <f t="shared" si="4"/>
        <v>19.47</v>
      </c>
    </row>
    <row r="75" spans="1:17">
      <c r="A75" s="25" t="s">
        <v>480</v>
      </c>
      <c r="B75" s="25" t="s">
        <v>415</v>
      </c>
      <c r="C75" s="25" t="s">
        <v>382</v>
      </c>
      <c r="D75" s="25" t="s">
        <v>412</v>
      </c>
      <c r="E75" s="30">
        <v>9350461925</v>
      </c>
      <c r="F75" s="25" t="s">
        <v>388</v>
      </c>
      <c r="G75" s="25" t="s">
        <v>436</v>
      </c>
      <c r="H75" s="25">
        <v>686.64</v>
      </c>
      <c r="I75" s="25">
        <v>8</v>
      </c>
      <c r="J75" s="25">
        <v>878.07</v>
      </c>
      <c r="K75" s="25" t="s">
        <v>266</v>
      </c>
      <c r="L75" s="25">
        <v>5493.12</v>
      </c>
      <c r="M75" s="26" t="s">
        <v>399</v>
      </c>
      <c r="N75" s="25">
        <v>15.98</v>
      </c>
      <c r="O75">
        <f t="shared" si="3"/>
        <v>5493.12</v>
      </c>
      <c r="P75" t="str">
        <f t="shared" si="5"/>
        <v>Low</v>
      </c>
      <c r="Q75">
        <f t="shared" si="4"/>
        <v>15.98</v>
      </c>
    </row>
    <row r="76" spans="1:17">
      <c r="A76" s="25" t="s">
        <v>481</v>
      </c>
      <c r="B76" s="25" t="s">
        <v>381</v>
      </c>
      <c r="C76" s="25" t="s">
        <v>382</v>
      </c>
      <c r="D76" s="25" t="s">
        <v>393</v>
      </c>
      <c r="E76" s="30">
        <v>9996467468</v>
      </c>
      <c r="F76" s="25" t="s">
        <v>384</v>
      </c>
      <c r="G76" s="25" t="s">
        <v>285</v>
      </c>
      <c r="H76" s="25">
        <v>2830.64</v>
      </c>
      <c r="I76" s="25">
        <v>6</v>
      </c>
      <c r="J76" s="25">
        <v>1830.75</v>
      </c>
      <c r="K76" s="25" t="s">
        <v>266</v>
      </c>
      <c r="L76" s="25">
        <v>16983.84</v>
      </c>
      <c r="M76" s="26" t="s">
        <v>386</v>
      </c>
      <c r="N76" s="25">
        <v>10.78</v>
      </c>
      <c r="O76">
        <f t="shared" si="3"/>
        <v>16983.84</v>
      </c>
      <c r="P76" t="str">
        <f t="shared" si="5"/>
        <v>High</v>
      </c>
      <c r="Q76">
        <f t="shared" si="4"/>
        <v>10.78</v>
      </c>
    </row>
    <row r="77" spans="1:17">
      <c r="A77" s="25" t="s">
        <v>482</v>
      </c>
      <c r="B77" s="25" t="s">
        <v>381</v>
      </c>
      <c r="C77" s="25" t="s">
        <v>382</v>
      </c>
      <c r="D77" s="25" t="s">
        <v>412</v>
      </c>
      <c r="E77" s="30">
        <v>9128345710</v>
      </c>
      <c r="F77" s="25" t="s">
        <v>264</v>
      </c>
      <c r="G77" s="25" t="s">
        <v>247</v>
      </c>
      <c r="H77" s="25">
        <v>2619.08</v>
      </c>
      <c r="I77" s="25">
        <v>6</v>
      </c>
      <c r="J77" s="25">
        <v>4245.2299999999996</v>
      </c>
      <c r="K77" s="25" t="s">
        <v>390</v>
      </c>
      <c r="L77" s="25">
        <v>15714.48</v>
      </c>
      <c r="M77" s="26" t="s">
        <v>386</v>
      </c>
      <c r="N77" s="25">
        <v>27.01</v>
      </c>
      <c r="O77">
        <f t="shared" si="3"/>
        <v>15714.48</v>
      </c>
      <c r="P77" t="str">
        <f t="shared" si="5"/>
        <v>High</v>
      </c>
      <c r="Q77">
        <f t="shared" si="4"/>
        <v>27.01</v>
      </c>
    </row>
    <row r="78" spans="1:17">
      <c r="A78" s="25" t="s">
        <v>483</v>
      </c>
      <c r="B78" s="25" t="s">
        <v>403</v>
      </c>
      <c r="C78" s="25" t="s">
        <v>382</v>
      </c>
      <c r="D78" s="25" t="s">
        <v>410</v>
      </c>
      <c r="E78" s="30">
        <v>9392055351</v>
      </c>
      <c r="F78" s="25" t="s">
        <v>384</v>
      </c>
      <c r="G78" s="25" t="s">
        <v>278</v>
      </c>
      <c r="H78" s="25">
        <v>503.93</v>
      </c>
      <c r="I78" s="25">
        <v>11</v>
      </c>
      <c r="J78" s="25">
        <v>1183.48</v>
      </c>
      <c r="K78" s="25" t="s">
        <v>398</v>
      </c>
      <c r="L78" s="25">
        <v>5543.23</v>
      </c>
      <c r="M78" s="26" t="s">
        <v>399</v>
      </c>
      <c r="N78" s="25">
        <v>21.35</v>
      </c>
      <c r="O78">
        <f t="shared" si="3"/>
        <v>5543.2300000000005</v>
      </c>
      <c r="P78" t="str">
        <f t="shared" si="5"/>
        <v>Low</v>
      </c>
      <c r="Q78">
        <f t="shared" si="4"/>
        <v>21.35</v>
      </c>
    </row>
    <row r="79" spans="1:17">
      <c r="A79" s="25" t="s">
        <v>484</v>
      </c>
      <c r="B79" s="25" t="s">
        <v>392</v>
      </c>
      <c r="C79" s="25" t="s">
        <v>382</v>
      </c>
      <c r="D79" s="25" t="s">
        <v>404</v>
      </c>
      <c r="E79" s="30">
        <v>9980141994</v>
      </c>
      <c r="F79" s="25" t="s">
        <v>388</v>
      </c>
      <c r="G79" s="25" t="s">
        <v>323</v>
      </c>
      <c r="H79" s="25">
        <v>467.71</v>
      </c>
      <c r="I79" s="25">
        <v>12</v>
      </c>
      <c r="J79" s="25">
        <v>1223.23</v>
      </c>
      <c r="K79" s="25" t="s">
        <v>266</v>
      </c>
      <c r="L79" s="25">
        <v>5612.52</v>
      </c>
      <c r="M79" s="26" t="s">
        <v>399</v>
      </c>
      <c r="N79" s="25">
        <v>21.79</v>
      </c>
      <c r="O79">
        <f t="shared" si="3"/>
        <v>5612.5199999999995</v>
      </c>
      <c r="P79" t="str">
        <f t="shared" si="5"/>
        <v>Low</v>
      </c>
      <c r="Q79">
        <f t="shared" si="4"/>
        <v>21.79</v>
      </c>
    </row>
    <row r="80" spans="1:17">
      <c r="A80" s="25" t="s">
        <v>485</v>
      </c>
      <c r="B80" s="25" t="s">
        <v>381</v>
      </c>
      <c r="C80" s="25" t="s">
        <v>382</v>
      </c>
      <c r="D80" s="25" t="s">
        <v>408</v>
      </c>
      <c r="E80" s="30">
        <v>9403999543</v>
      </c>
      <c r="F80" s="25" t="s">
        <v>388</v>
      </c>
      <c r="G80" s="25" t="s">
        <v>406</v>
      </c>
      <c r="H80" s="25">
        <v>2307.34</v>
      </c>
      <c r="I80" s="25">
        <v>14</v>
      </c>
      <c r="J80" s="25">
        <v>3571.15</v>
      </c>
      <c r="K80" s="25" t="s">
        <v>421</v>
      </c>
      <c r="L80" s="25">
        <v>32302.76</v>
      </c>
      <c r="M80" s="26" t="s">
        <v>386</v>
      </c>
      <c r="N80" s="25">
        <v>11.06</v>
      </c>
      <c r="O80">
        <f t="shared" si="3"/>
        <v>32302.760000000002</v>
      </c>
      <c r="P80" t="str">
        <f t="shared" si="5"/>
        <v>High</v>
      </c>
      <c r="Q80">
        <f t="shared" si="4"/>
        <v>11.06</v>
      </c>
    </row>
    <row r="81" spans="1:17">
      <c r="A81" s="25" t="s">
        <v>486</v>
      </c>
      <c r="B81" s="25" t="s">
        <v>415</v>
      </c>
      <c r="C81" s="25" t="s">
        <v>382</v>
      </c>
      <c r="D81" s="25" t="s">
        <v>423</v>
      </c>
      <c r="E81" s="30">
        <v>9164427200</v>
      </c>
      <c r="F81" s="25" t="s">
        <v>264</v>
      </c>
      <c r="G81" s="25" t="s">
        <v>319</v>
      </c>
      <c r="H81" s="25">
        <v>1513.57</v>
      </c>
      <c r="I81" s="25">
        <v>14</v>
      </c>
      <c r="J81" s="27">
        <v>5761.18</v>
      </c>
      <c r="K81" s="25" t="s">
        <v>266</v>
      </c>
      <c r="L81" s="25">
        <v>21189.98</v>
      </c>
      <c r="M81" s="26" t="s">
        <v>386</v>
      </c>
      <c r="N81" s="25">
        <v>27.19</v>
      </c>
      <c r="O81">
        <f t="shared" si="3"/>
        <v>21189.98</v>
      </c>
      <c r="P81" t="str">
        <f t="shared" si="5"/>
        <v>High</v>
      </c>
      <c r="Q81">
        <f t="shared" si="4"/>
        <v>27.19</v>
      </c>
    </row>
    <row r="82" spans="1:17">
      <c r="A82" s="25" t="s">
        <v>487</v>
      </c>
      <c r="B82" s="25" t="s">
        <v>415</v>
      </c>
      <c r="C82" s="25" t="s">
        <v>382</v>
      </c>
      <c r="D82" s="25" t="s">
        <v>408</v>
      </c>
      <c r="E82" s="31">
        <v>858947</v>
      </c>
      <c r="F82" s="25" t="s">
        <v>388</v>
      </c>
      <c r="G82" s="25" t="s">
        <v>436</v>
      </c>
      <c r="H82" s="25">
        <v>2213.4499999999998</v>
      </c>
      <c r="I82" s="25">
        <v>3</v>
      </c>
      <c r="J82" s="25">
        <v>867.33</v>
      </c>
      <c r="K82" s="25" t="s">
        <v>421</v>
      </c>
      <c r="L82" s="25">
        <v>6640.35</v>
      </c>
      <c r="M82" s="26" t="s">
        <v>399</v>
      </c>
      <c r="N82" s="25">
        <v>13.06</v>
      </c>
      <c r="O82">
        <f t="shared" si="3"/>
        <v>6640.3499999999995</v>
      </c>
      <c r="P82" t="str">
        <f t="shared" si="5"/>
        <v>Low</v>
      </c>
      <c r="Q82">
        <f t="shared" si="4"/>
        <v>13.06</v>
      </c>
    </row>
    <row r="83" spans="1:17">
      <c r="A83" s="25" t="s">
        <v>488</v>
      </c>
      <c r="B83" s="25" t="s">
        <v>392</v>
      </c>
      <c r="C83" s="25" t="s">
        <v>382</v>
      </c>
      <c r="D83" s="25" t="s">
        <v>404</v>
      </c>
      <c r="E83" s="30">
        <v>9789825611</v>
      </c>
      <c r="F83" s="25" t="s">
        <v>384</v>
      </c>
      <c r="G83" s="25" t="s">
        <v>285</v>
      </c>
      <c r="H83" s="25">
        <v>384.21</v>
      </c>
      <c r="I83" s="25">
        <v>5</v>
      </c>
      <c r="J83" s="25">
        <v>354.16</v>
      </c>
      <c r="K83" s="25" t="s">
        <v>421</v>
      </c>
      <c r="L83" s="25">
        <v>1921.05</v>
      </c>
      <c r="M83" s="26" t="s">
        <v>395</v>
      </c>
      <c r="N83" s="25">
        <v>18.440000000000001</v>
      </c>
      <c r="O83">
        <f t="shared" si="3"/>
        <v>1921.05</v>
      </c>
      <c r="P83" t="str">
        <f t="shared" si="5"/>
        <v>Low</v>
      </c>
      <c r="Q83">
        <f t="shared" si="4"/>
        <v>18.440000000000001</v>
      </c>
    </row>
    <row r="84" spans="1:17">
      <c r="A84" s="25" t="s">
        <v>489</v>
      </c>
      <c r="B84" s="25" t="s">
        <v>403</v>
      </c>
      <c r="C84" s="25" t="s">
        <v>382</v>
      </c>
      <c r="D84" s="25" t="s">
        <v>408</v>
      </c>
      <c r="E84" s="30">
        <v>9371462183</v>
      </c>
      <c r="F84" s="25" t="s">
        <v>264</v>
      </c>
      <c r="G84" s="25" t="s">
        <v>247</v>
      </c>
      <c r="H84" s="25">
        <v>498.41</v>
      </c>
      <c r="I84" s="25">
        <v>7</v>
      </c>
      <c r="J84" s="25">
        <v>435.36</v>
      </c>
      <c r="K84" s="25" t="s">
        <v>281</v>
      </c>
      <c r="L84" s="25">
        <v>3488.87</v>
      </c>
      <c r="M84" s="26" t="s">
        <v>395</v>
      </c>
      <c r="N84" s="25">
        <v>12.48</v>
      </c>
      <c r="O84">
        <f t="shared" si="3"/>
        <v>3488.8700000000003</v>
      </c>
      <c r="P84" t="str">
        <f t="shared" si="5"/>
        <v>Low</v>
      </c>
      <c r="Q84">
        <f t="shared" si="4"/>
        <v>12.48</v>
      </c>
    </row>
    <row r="85" spans="1:17">
      <c r="A85" s="25" t="s">
        <v>490</v>
      </c>
      <c r="B85" s="25" t="s">
        <v>415</v>
      </c>
      <c r="C85" s="25" t="s">
        <v>382</v>
      </c>
      <c r="D85" s="25" t="s">
        <v>408</v>
      </c>
      <c r="E85" s="30">
        <v>9444893207</v>
      </c>
      <c r="F85" s="25" t="s">
        <v>384</v>
      </c>
      <c r="G85" s="25" t="s">
        <v>285</v>
      </c>
      <c r="H85" s="25">
        <v>1599.24</v>
      </c>
      <c r="I85" s="25">
        <v>10</v>
      </c>
      <c r="J85" s="25">
        <v>4368.75</v>
      </c>
      <c r="K85" s="25" t="s">
        <v>281</v>
      </c>
      <c r="L85" s="25">
        <v>15992.4</v>
      </c>
      <c r="M85" s="26" t="s">
        <v>386</v>
      </c>
      <c r="N85" s="25">
        <v>27.32</v>
      </c>
      <c r="O85">
        <f t="shared" si="3"/>
        <v>15992.4</v>
      </c>
      <c r="P85" t="str">
        <f t="shared" si="5"/>
        <v>High</v>
      </c>
      <c r="Q85">
        <f t="shared" si="4"/>
        <v>27.32</v>
      </c>
    </row>
    <row r="86" spans="1:17">
      <c r="A86" s="25" t="s">
        <v>491</v>
      </c>
      <c r="B86" s="25" t="s">
        <v>381</v>
      </c>
      <c r="C86" s="25" t="s">
        <v>382</v>
      </c>
      <c r="D86" s="25" t="s">
        <v>412</v>
      </c>
      <c r="E86" s="30">
        <v>9339358166</v>
      </c>
      <c r="F86" s="25" t="s">
        <v>388</v>
      </c>
      <c r="G86" s="25" t="s">
        <v>397</v>
      </c>
      <c r="H86" s="25">
        <v>962.07</v>
      </c>
      <c r="I86" s="25">
        <v>9</v>
      </c>
      <c r="J86" s="25">
        <v>905.89</v>
      </c>
      <c r="K86" s="25" t="s">
        <v>281</v>
      </c>
      <c r="L86" s="25">
        <v>8658.6299999999992</v>
      </c>
      <c r="M86" s="26" t="s">
        <v>399</v>
      </c>
      <c r="N86" s="25">
        <v>10.46</v>
      </c>
      <c r="O86">
        <f t="shared" si="3"/>
        <v>8658.630000000001</v>
      </c>
      <c r="P86" t="str">
        <f t="shared" si="5"/>
        <v>Medium</v>
      </c>
      <c r="Q86">
        <f t="shared" si="4"/>
        <v>10.46</v>
      </c>
    </row>
    <row r="87" spans="1:17">
      <c r="A87" s="25" t="s">
        <v>492</v>
      </c>
      <c r="B87" s="25" t="s">
        <v>381</v>
      </c>
      <c r="C87" s="25" t="s">
        <v>382</v>
      </c>
      <c r="D87" s="25" t="s">
        <v>393</v>
      </c>
      <c r="E87" s="30">
        <v>9119201960</v>
      </c>
      <c r="F87" s="25" t="s">
        <v>388</v>
      </c>
      <c r="G87" s="25" t="s">
        <v>323</v>
      </c>
      <c r="H87" s="25">
        <v>1673.22</v>
      </c>
      <c r="I87" s="25">
        <v>7</v>
      </c>
      <c r="J87" s="25">
        <v>1935.04</v>
      </c>
      <c r="K87" s="25" t="s">
        <v>421</v>
      </c>
      <c r="L87" s="25">
        <v>11712.54</v>
      </c>
      <c r="M87" s="26" t="s">
        <v>386</v>
      </c>
      <c r="N87" s="25">
        <v>16.52</v>
      </c>
      <c r="O87">
        <f t="shared" si="3"/>
        <v>11712.54</v>
      </c>
      <c r="P87" t="str">
        <f t="shared" si="5"/>
        <v>Medium</v>
      </c>
      <c r="Q87">
        <f t="shared" si="4"/>
        <v>16.52</v>
      </c>
    </row>
    <row r="88" spans="1:17">
      <c r="A88" s="25" t="s">
        <v>493</v>
      </c>
      <c r="B88" s="25" t="s">
        <v>381</v>
      </c>
      <c r="C88" s="25" t="s">
        <v>382</v>
      </c>
      <c r="D88" s="25" t="s">
        <v>404</v>
      </c>
      <c r="E88" s="30">
        <v>9161700373</v>
      </c>
      <c r="F88" s="25" t="s">
        <v>384</v>
      </c>
      <c r="G88" s="25" t="s">
        <v>394</v>
      </c>
      <c r="H88" s="25">
        <v>791.24</v>
      </c>
      <c r="I88" s="25">
        <v>4</v>
      </c>
      <c r="J88" s="25">
        <v>366.17</v>
      </c>
      <c r="K88" s="25" t="s">
        <v>281</v>
      </c>
      <c r="L88" s="25">
        <v>3164.96</v>
      </c>
      <c r="M88" s="26" t="s">
        <v>395</v>
      </c>
      <c r="N88" s="25">
        <v>11.57</v>
      </c>
      <c r="O88">
        <f t="shared" si="3"/>
        <v>3164.96</v>
      </c>
      <c r="P88" t="str">
        <f t="shared" si="5"/>
        <v>Low</v>
      </c>
      <c r="Q88">
        <f t="shared" si="4"/>
        <v>11.57</v>
      </c>
    </row>
    <row r="89" spans="1:17">
      <c r="A89" s="25" t="s">
        <v>494</v>
      </c>
      <c r="B89" s="25" t="s">
        <v>392</v>
      </c>
      <c r="C89" s="25" t="s">
        <v>382</v>
      </c>
      <c r="D89" s="25" t="s">
        <v>423</v>
      </c>
      <c r="E89" s="30">
        <v>9242580997</v>
      </c>
      <c r="F89" s="25" t="s">
        <v>384</v>
      </c>
      <c r="G89" s="25" t="s">
        <v>278</v>
      </c>
      <c r="H89" s="25">
        <v>1210.8599999999999</v>
      </c>
      <c r="I89" s="25">
        <v>3</v>
      </c>
      <c r="J89" s="25">
        <v>698.75</v>
      </c>
      <c r="K89" s="25" t="s">
        <v>281</v>
      </c>
      <c r="L89" s="25">
        <v>3632.58</v>
      </c>
      <c r="M89" s="26" t="s">
        <v>395</v>
      </c>
      <c r="N89" s="25">
        <v>19.239999999999998</v>
      </c>
      <c r="O89">
        <f t="shared" si="3"/>
        <v>3632.58</v>
      </c>
      <c r="P89" t="str">
        <f t="shared" si="5"/>
        <v>Low</v>
      </c>
      <c r="Q89">
        <f t="shared" si="4"/>
        <v>19.239999999999998</v>
      </c>
    </row>
    <row r="90" spans="1:17">
      <c r="A90" s="25" t="s">
        <v>495</v>
      </c>
      <c r="B90" s="25" t="s">
        <v>415</v>
      </c>
      <c r="C90" s="25" t="s">
        <v>382</v>
      </c>
      <c r="D90" s="25" t="s">
        <v>410</v>
      </c>
      <c r="E90" s="30">
        <v>9370714466</v>
      </c>
      <c r="F90" s="25" t="s">
        <v>384</v>
      </c>
      <c r="G90" s="25" t="s">
        <v>394</v>
      </c>
      <c r="H90" s="25">
        <v>619.57000000000005</v>
      </c>
      <c r="I90" s="25">
        <v>7</v>
      </c>
      <c r="J90" s="25">
        <v>562.75</v>
      </c>
      <c r="K90" s="25" t="s">
        <v>281</v>
      </c>
      <c r="L90" s="25">
        <v>4336.99</v>
      </c>
      <c r="M90" s="26" t="s">
        <v>395</v>
      </c>
      <c r="N90" s="25">
        <v>12.98</v>
      </c>
      <c r="O90">
        <f t="shared" si="3"/>
        <v>4336.9900000000007</v>
      </c>
      <c r="P90" t="str">
        <f t="shared" si="5"/>
        <v>Low</v>
      </c>
      <c r="Q90">
        <f t="shared" si="4"/>
        <v>12.98</v>
      </c>
    </row>
    <row r="91" spans="1:17">
      <c r="A91" s="25" t="s">
        <v>496</v>
      </c>
      <c r="B91" s="25" t="s">
        <v>381</v>
      </c>
      <c r="C91" s="25" t="s">
        <v>382</v>
      </c>
      <c r="D91" s="25" t="s">
        <v>408</v>
      </c>
      <c r="E91" s="30">
        <v>9427647839</v>
      </c>
      <c r="F91" s="25" t="s">
        <v>264</v>
      </c>
      <c r="G91" s="25" t="s">
        <v>239</v>
      </c>
      <c r="H91" s="25">
        <v>308.5</v>
      </c>
      <c r="I91" s="25">
        <v>15</v>
      </c>
      <c r="J91" s="25">
        <v>802.96</v>
      </c>
      <c r="K91" s="25" t="s">
        <v>266</v>
      </c>
      <c r="L91" s="25">
        <v>4627.5</v>
      </c>
      <c r="M91" s="26" t="s">
        <v>395</v>
      </c>
      <c r="N91" s="25">
        <v>17.350000000000001</v>
      </c>
      <c r="O91">
        <f t="shared" si="3"/>
        <v>4627.5</v>
      </c>
      <c r="P91" t="str">
        <f t="shared" si="5"/>
        <v>Low</v>
      </c>
      <c r="Q91">
        <f t="shared" si="4"/>
        <v>17.350000000000001</v>
      </c>
    </row>
    <row r="92" spans="1:17">
      <c r="A92" s="25" t="s">
        <v>497</v>
      </c>
      <c r="B92" s="25" t="s">
        <v>403</v>
      </c>
      <c r="C92" s="25" t="s">
        <v>382</v>
      </c>
      <c r="D92" s="25" t="s">
        <v>408</v>
      </c>
      <c r="E92" s="30">
        <v>9942075195</v>
      </c>
      <c r="F92" s="25" t="s">
        <v>384</v>
      </c>
      <c r="G92" s="25" t="s">
        <v>285</v>
      </c>
      <c r="H92" s="25">
        <v>1853.37</v>
      </c>
      <c r="I92" s="25">
        <v>5</v>
      </c>
      <c r="J92" s="25">
        <v>1661.2</v>
      </c>
      <c r="K92" s="25" t="s">
        <v>266</v>
      </c>
      <c r="L92" s="25">
        <v>9266.85</v>
      </c>
      <c r="M92" s="26" t="s">
        <v>399</v>
      </c>
      <c r="N92" s="25">
        <v>17.93</v>
      </c>
      <c r="O92">
        <f t="shared" si="3"/>
        <v>9266.8499999999985</v>
      </c>
      <c r="P92" t="str">
        <f t="shared" si="5"/>
        <v>Medium</v>
      </c>
      <c r="Q92">
        <f t="shared" si="4"/>
        <v>17.93</v>
      </c>
    </row>
    <row r="93" spans="1:17">
      <c r="A93" s="25" t="s">
        <v>498</v>
      </c>
      <c r="B93" s="25" t="s">
        <v>392</v>
      </c>
      <c r="C93" s="25" t="s">
        <v>382</v>
      </c>
      <c r="D93" s="25" t="s">
        <v>412</v>
      </c>
      <c r="E93" s="30">
        <v>9857569233</v>
      </c>
      <c r="F93" s="25" t="s">
        <v>384</v>
      </c>
      <c r="G93" s="25" t="s">
        <v>420</v>
      </c>
      <c r="H93" s="25">
        <v>2501.48</v>
      </c>
      <c r="I93" s="25">
        <v>6</v>
      </c>
      <c r="J93" s="25">
        <v>4142.5200000000004</v>
      </c>
      <c r="K93" s="25" t="s">
        <v>390</v>
      </c>
      <c r="L93" s="25">
        <v>15008.88</v>
      </c>
      <c r="M93" s="26" t="s">
        <v>386</v>
      </c>
      <c r="N93" s="25">
        <v>27.6</v>
      </c>
      <c r="O93">
        <f t="shared" si="3"/>
        <v>15008.880000000001</v>
      </c>
      <c r="P93" t="str">
        <f t="shared" si="5"/>
        <v>High</v>
      </c>
      <c r="Q93">
        <f t="shared" si="4"/>
        <v>27.6</v>
      </c>
    </row>
    <row r="94" spans="1:17">
      <c r="A94" s="25" t="s">
        <v>499</v>
      </c>
      <c r="B94" s="25" t="s">
        <v>392</v>
      </c>
      <c r="C94" s="25" t="s">
        <v>382</v>
      </c>
      <c r="D94" s="25" t="s">
        <v>383</v>
      </c>
      <c r="E94" s="30">
        <v>9944969047</v>
      </c>
      <c r="F94" s="25" t="s">
        <v>264</v>
      </c>
      <c r="G94" s="25" t="s">
        <v>233</v>
      </c>
      <c r="H94" s="25">
        <v>2596.13</v>
      </c>
      <c r="I94" s="25">
        <v>5</v>
      </c>
      <c r="J94" s="25">
        <v>1453.33</v>
      </c>
      <c r="K94" s="25" t="s">
        <v>390</v>
      </c>
      <c r="L94" s="25">
        <v>12980.65</v>
      </c>
      <c r="M94" s="26" t="s">
        <v>386</v>
      </c>
      <c r="N94" s="25">
        <v>11.2</v>
      </c>
      <c r="O94">
        <f t="shared" si="3"/>
        <v>12980.650000000001</v>
      </c>
      <c r="P94" t="str">
        <f t="shared" si="5"/>
        <v>Medium</v>
      </c>
      <c r="Q94">
        <f t="shared" si="4"/>
        <v>11.2</v>
      </c>
    </row>
    <row r="95" spans="1:17">
      <c r="A95" s="25" t="s">
        <v>500</v>
      </c>
      <c r="B95" s="25" t="s">
        <v>381</v>
      </c>
      <c r="C95" s="25" t="s">
        <v>382</v>
      </c>
      <c r="D95" s="25" t="s">
        <v>393</v>
      </c>
      <c r="E95" s="31">
        <v>56428436</v>
      </c>
      <c r="F95" s="25" t="s">
        <v>264</v>
      </c>
      <c r="G95" s="25" t="s">
        <v>247</v>
      </c>
      <c r="H95" s="25">
        <v>2209.52</v>
      </c>
      <c r="I95" s="25">
        <v>6</v>
      </c>
      <c r="J95" s="25">
        <v>3760.49</v>
      </c>
      <c r="K95" s="25" t="s">
        <v>390</v>
      </c>
      <c r="L95" s="25">
        <v>13257.12</v>
      </c>
      <c r="M95" s="26" t="s">
        <v>386</v>
      </c>
      <c r="N95" s="25">
        <v>28.37</v>
      </c>
      <c r="O95">
        <f t="shared" si="3"/>
        <v>13257.119999999999</v>
      </c>
      <c r="P95" t="str">
        <f t="shared" si="5"/>
        <v>Medium</v>
      </c>
      <c r="Q95">
        <f t="shared" si="4"/>
        <v>28.37</v>
      </c>
    </row>
    <row r="96" spans="1:17">
      <c r="A96" s="25" t="s">
        <v>501</v>
      </c>
      <c r="B96" s="25" t="s">
        <v>403</v>
      </c>
      <c r="C96" s="25" t="s">
        <v>382</v>
      </c>
      <c r="D96" s="25" t="s">
        <v>410</v>
      </c>
      <c r="E96" s="30">
        <v>9705241364</v>
      </c>
      <c r="F96" s="25" t="s">
        <v>388</v>
      </c>
      <c r="G96" s="25" t="s">
        <v>397</v>
      </c>
      <c r="H96" s="25">
        <v>458.7</v>
      </c>
      <c r="I96" s="25">
        <v>7</v>
      </c>
      <c r="J96" s="25">
        <v>839.97</v>
      </c>
      <c r="K96" s="25" t="s">
        <v>390</v>
      </c>
      <c r="L96" s="25">
        <v>3210.9</v>
      </c>
      <c r="M96" s="26" t="s">
        <v>395</v>
      </c>
      <c r="N96" s="25">
        <v>26.16</v>
      </c>
      <c r="O96">
        <f t="shared" si="3"/>
        <v>3210.9</v>
      </c>
      <c r="P96" t="str">
        <f t="shared" si="5"/>
        <v>Low</v>
      </c>
      <c r="Q96">
        <f t="shared" si="4"/>
        <v>26.16</v>
      </c>
    </row>
    <row r="97" spans="1:17">
      <c r="A97" s="25" t="s">
        <v>502</v>
      </c>
      <c r="B97" s="25" t="s">
        <v>403</v>
      </c>
      <c r="C97" s="25" t="s">
        <v>382</v>
      </c>
      <c r="D97" s="25" t="s">
        <v>383</v>
      </c>
      <c r="E97" s="30">
        <v>9245776255</v>
      </c>
      <c r="F97" s="25" t="s">
        <v>384</v>
      </c>
      <c r="G97" s="25" t="s">
        <v>278</v>
      </c>
      <c r="H97" s="25">
        <v>833.16</v>
      </c>
      <c r="I97" s="25">
        <v>12</v>
      </c>
      <c r="J97" s="25">
        <v>2135.63</v>
      </c>
      <c r="K97" s="25" t="s">
        <v>390</v>
      </c>
      <c r="L97" s="25">
        <v>9997.92</v>
      </c>
      <c r="M97" s="26" t="s">
        <v>399</v>
      </c>
      <c r="N97" s="25">
        <v>21.36</v>
      </c>
      <c r="O97">
        <f t="shared" si="3"/>
        <v>9997.92</v>
      </c>
      <c r="P97" t="str">
        <f t="shared" si="5"/>
        <v>Medium</v>
      </c>
      <c r="Q97">
        <f t="shared" si="4"/>
        <v>21.36</v>
      </c>
    </row>
    <row r="98" spans="1:17">
      <c r="A98" s="25" t="s">
        <v>503</v>
      </c>
      <c r="B98" s="25" t="s">
        <v>403</v>
      </c>
      <c r="C98" s="25" t="s">
        <v>382</v>
      </c>
      <c r="D98" s="25" t="s">
        <v>423</v>
      </c>
      <c r="E98" s="30">
        <v>9881212856</v>
      </c>
      <c r="F98" s="25" t="s">
        <v>384</v>
      </c>
      <c r="G98" s="25" t="s">
        <v>278</v>
      </c>
      <c r="H98" s="25">
        <v>238.37</v>
      </c>
      <c r="I98" s="25">
        <v>13</v>
      </c>
      <c r="J98" s="25">
        <v>586.94000000000005</v>
      </c>
      <c r="K98" s="25" t="s">
        <v>390</v>
      </c>
      <c r="L98" s="25">
        <v>3098.81</v>
      </c>
      <c r="M98" s="26" t="s">
        <v>395</v>
      </c>
      <c r="N98" s="25">
        <v>18.940000000000001</v>
      </c>
      <c r="O98">
        <f t="shared" si="3"/>
        <v>3098.81</v>
      </c>
      <c r="P98" t="str">
        <f t="shared" si="5"/>
        <v>Low</v>
      </c>
      <c r="Q98">
        <f t="shared" si="4"/>
        <v>18.940000000000001</v>
      </c>
    </row>
    <row r="99" spans="1:17">
      <c r="A99" s="25" t="s">
        <v>504</v>
      </c>
      <c r="B99" s="25" t="s">
        <v>381</v>
      </c>
      <c r="C99" s="25" t="s">
        <v>382</v>
      </c>
      <c r="D99" s="25" t="s">
        <v>410</v>
      </c>
      <c r="E99" s="30">
        <v>9916091858</v>
      </c>
      <c r="F99" s="25" t="s">
        <v>384</v>
      </c>
      <c r="G99" s="25" t="s">
        <v>285</v>
      </c>
      <c r="H99" s="25">
        <v>820.05</v>
      </c>
      <c r="I99" s="25">
        <v>3</v>
      </c>
      <c r="J99" s="25">
        <v>419.41</v>
      </c>
      <c r="K99" s="25" t="s">
        <v>281</v>
      </c>
      <c r="L99" s="25">
        <v>2460.15</v>
      </c>
      <c r="M99" s="26" t="s">
        <v>395</v>
      </c>
      <c r="N99" s="25">
        <v>17.05</v>
      </c>
      <c r="O99">
        <f t="shared" si="3"/>
        <v>2460.1499999999996</v>
      </c>
      <c r="P99" t="str">
        <f t="shared" si="5"/>
        <v>Low</v>
      </c>
      <c r="Q99">
        <f t="shared" si="4"/>
        <v>17.05</v>
      </c>
    </row>
    <row r="100" spans="1:17">
      <c r="A100" s="25" t="s">
        <v>505</v>
      </c>
      <c r="B100" s="25" t="s">
        <v>415</v>
      </c>
      <c r="C100" s="25" t="s">
        <v>382</v>
      </c>
      <c r="D100" s="25" t="s">
        <v>383</v>
      </c>
      <c r="E100" s="30">
        <v>9425191872</v>
      </c>
      <c r="F100" s="25" t="s">
        <v>264</v>
      </c>
      <c r="G100" s="25" t="s">
        <v>247</v>
      </c>
      <c r="H100" s="25">
        <v>2716.33</v>
      </c>
      <c r="I100" s="25">
        <v>8</v>
      </c>
      <c r="J100" s="27">
        <v>5513.14</v>
      </c>
      <c r="K100" s="25" t="s">
        <v>390</v>
      </c>
      <c r="L100" s="25">
        <v>21730.639999999999</v>
      </c>
      <c r="M100" s="26" t="s">
        <v>386</v>
      </c>
      <c r="N100" s="25">
        <v>25.37</v>
      </c>
      <c r="O100">
        <f t="shared" si="3"/>
        <v>21730.639999999999</v>
      </c>
      <c r="P100" t="str">
        <f t="shared" si="5"/>
        <v>High</v>
      </c>
      <c r="Q100">
        <f t="shared" si="4"/>
        <v>25.37</v>
      </c>
    </row>
    <row r="101" spans="1:17">
      <c r="A101" s="25" t="s">
        <v>506</v>
      </c>
      <c r="B101" s="25" t="s">
        <v>415</v>
      </c>
      <c r="C101" s="25" t="s">
        <v>382</v>
      </c>
      <c r="D101" s="25" t="s">
        <v>423</v>
      </c>
      <c r="E101" s="30">
        <v>9459337548</v>
      </c>
      <c r="F101" s="25" t="s">
        <v>384</v>
      </c>
      <c r="G101" s="25" t="s">
        <v>420</v>
      </c>
      <c r="H101" s="25">
        <v>1918.81</v>
      </c>
      <c r="I101" s="25">
        <v>1</v>
      </c>
      <c r="J101" s="25">
        <v>442.75</v>
      </c>
      <c r="K101" s="25" t="s">
        <v>398</v>
      </c>
      <c r="L101" s="25">
        <v>1918.81</v>
      </c>
      <c r="M101" s="26" t="s">
        <v>395</v>
      </c>
      <c r="N101" s="25">
        <v>23.07</v>
      </c>
      <c r="O101">
        <f t="shared" si="3"/>
        <v>1918.81</v>
      </c>
      <c r="P101" t="str">
        <f t="shared" si="5"/>
        <v>Low</v>
      </c>
      <c r="Q101">
        <f t="shared" si="4"/>
        <v>23.07</v>
      </c>
    </row>
  </sheetData>
  <conditionalFormatting sqref="E1">
    <cfRule type="expression" dxfId="1" priority="3">
      <formula>LEN($E$7)&lt;&gt;10</formula>
    </cfRule>
  </conditionalFormatting>
  <conditionalFormatting sqref="E3">
    <cfRule type="expression" dxfId="9" priority="2">
      <formula>LEN($E$7)&lt;&gt;10</formula>
    </cfRule>
  </conditionalFormatting>
  <conditionalFormatting sqref="J1">
    <cfRule type="cellIs" dxfId="8" priority="4" operator="greaterThan">
      <formula>5000</formula>
    </cfRule>
  </conditionalFormatting>
  <conditionalFormatting sqref="E1:E1048576">
    <cfRule type="expression" dxfId="0" priority="1">
      <formula>LEN(E1)&lt;&gt;10</formula>
    </cfRule>
  </conditionalFormatting>
  <dataValidations count="1">
    <dataValidation type="whole" allowBlank="1" showInputMessage="1" showErrorMessage="1" sqref="I1" xr:uid="{4EBC4AE7-85E9-40C8-A93A-6B83FEF5678C}">
      <formula1>1</formula1>
      <formula2>20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 1 to 5</vt:lpstr>
      <vt:lpstr>Question 6</vt:lpstr>
      <vt:lpstr>Question 7</vt:lpstr>
      <vt:lpstr>Question 7 Dashboard</vt:lpstr>
      <vt:lpstr>Question 8</vt:lpstr>
      <vt:lpstr>Question 9</vt:lpstr>
      <vt:lpstr>Question 10</vt:lpstr>
      <vt:lpstr>Question 10 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nayan chaudhari</dc:creator>
  <cp:lastModifiedBy>nayan chaudhari</cp:lastModifiedBy>
  <dcterms:created xsi:type="dcterms:W3CDTF">2026-01-06T04:07:31Z</dcterms:created>
  <dcterms:modified xsi:type="dcterms:W3CDTF">2026-01-08T05:31:43Z</dcterms:modified>
</cp:coreProperties>
</file>